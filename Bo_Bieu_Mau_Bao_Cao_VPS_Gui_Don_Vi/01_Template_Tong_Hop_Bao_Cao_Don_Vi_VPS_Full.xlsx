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0_Huong_Dan" state="visible" r:id="rId4"/>
    <sheet sheetId="2" name="DOANH SỐ VÀ LÃI GỘP" state="visible" r:id="rId5"/>
    <sheet sheetId="3" name="Công nợ" state="visible" r:id="rId6"/>
    <sheet sheetId="4" name="Khách hàng" state="visible" r:id="rId7"/>
    <sheet sheetId="5" name="Tồn kho" state="visible" r:id="rId8"/>
    <sheet sheetId="6" name="Nhân sự" state="visible" r:id="rId9"/>
    <sheet sheetId="7" name="Sản Phẩm" state="visible" r:id="rId10"/>
    <sheet sheetId="8" name="Chi Phí" state="visible" r:id="rId11"/>
    <sheet sheetId="9" name="ISO" state="visible" r:id="rId12"/>
    <sheet sheetId="10" name="Đào tạo" state="visible" r:id="rId13"/>
    <sheet sheetId="11" name="Dịch vụ tận tâm" state="visible" r:id="rId14"/>
    <sheet sheetId="12" name="Văn hóa doanh nghiệp" state="visible" r:id="rId15"/>
    <sheet sheetId="13" name="Thương hiệu" state="visible" r:id="rId16"/>
    <sheet sheetId="14" name="Dự án &amp; KH Dự án" state="visible" r:id="rId17"/>
  </sheets>
  <calcPr calcId="171027"/>
</workbook>
</file>

<file path=xl/sharedStrings.xml><?xml version="1.0" encoding="utf-8"?>
<sst xmlns="http://schemas.openxmlformats.org/spreadsheetml/2006/main" count="625" uniqueCount="293">
  <si>
    <t>HƯỚNG DẪN NHẬP LIỆU BÁO CÁO CÁC ĐƠN VỊ - TẬP ĐOÀN VPS</t>
  </si>
  <si>
    <t>1. Mục đích</t>
  </si>
  <si>
    <t>File Excel mẫu này được chuẩn hóa đồng bộ phục vụ cho việc nhập liệu báo cáo định kỳ hàng tháng của các Đơn vị thành viên trong Tập đoàn VPS.</t>
  </si>
  <si>
    <t>2. Tên đơn vị chuẩn</t>
  </si>
  <si>
    <t>Vui lòng chọn hoặc điền đúng tên đơn vị theo danh sách quy chuẩn: "Tân Hồng Hà", "Việt", "Xem Sơn", "VPS M", "ITSS", "Văn phòng VPS".</t>
  </si>
  <si>
    <t>3. Định dạng thời gian</t>
  </si>
  <si>
    <t>Cột Tháng/Năm vui lòng nhập theo định dạng chuẩn: MM/YYYY (Ví dụ: 08/2026, 09/2026, 10/2026).</t>
  </si>
  <si>
    <t>4. Định dạng số tiền</t>
  </si>
  <si>
    <t>Các cột số tiền nhập số nguyên dương (đơn vị: VNĐ). Không gõ thêm ký tự chữ như "đ", "vnđ", "triệu". Hệ thống tự động định dạng hiển thị.</t>
  </si>
  <si>
    <t>5. Giữ nguyên cấu trúc</t>
  </si>
  <si>
    <t>TUYỆT ĐỐI KHÔNG xóa cột, đổi tên sheet hoặc thay đổi thứ tự các cột tiêu đề để tránh lỗi khi đồng bộ tự động lên Dashboard của Ban Lãnh đạo.</t>
  </si>
  <si>
    <t>6. Cập nhật Google Sheets</t>
  </si>
  <si>
    <t>Các Đơn vị được phân quyền file Google Sheets riêng có thể sao chép trực tiếp các sheet tương ứng này vào Google Sheets của đơn vị mình.</t>
  </si>
  <si>
    <t>7. Danh sách các Sheet</t>
  </si>
  <si>
    <t>Gồm 13 Sheet nghiệp vụ: DOANH SỐ VÀ LÃI GỘP (8 phòng ban), Công nợ, Khách hàng, Tồn kho, Nhân sự, Sản Phẩm, Chi Phí, ISO, Đào tạo, Dịch vụ tận tâm, Văn hóa DN, Thương hiệu, Dự án.</t>
  </si>
  <si>
    <t>8. Đầu mối hỗ trợ</t>
  </si>
  <si>
    <t>Mọi thắc mắc kỹ thuật vui lòng liên hệ Ban Điều Hành VPS / IT Support để được giải đáp và hỗ trợ nhanh chóng.</t>
  </si>
  <si>
    <t>BÁO CÁO DOANH SỐ VÀ LÃI GỘP 8 PHÒNG BAN / MẢNG KINH DOANH - TẬP ĐOÀN VPS (KỲ: 08/2026)</t>
  </si>
  <si>
    <t>STT</t>
  </si>
  <si>
    <t>PHÒNG BAN / MẢNG KINH DOANH</t>
  </si>
  <si>
    <t>DS KH THÁNG</t>
  </si>
  <si>
    <t>DS TH THÁNG</t>
  </si>
  <si>
    <t>% ĐẠT DS THÁNG</t>
  </si>
  <si>
    <t>LG KH THÁNG</t>
  </si>
  <si>
    <t>LG TH THÁNG</t>
  </si>
  <si>
    <t>% ĐẠT LG THÁNG</t>
  </si>
  <si>
    <t>% LG THÁNG</t>
  </si>
  <si>
    <t>DS KH NĂM</t>
  </si>
  <si>
    <t>DS TH NĂM (LK)</t>
  </si>
  <si>
    <t>% ĐẠT DS NĂM</t>
  </si>
  <si>
    <t>LG KH NĂM</t>
  </si>
  <si>
    <t>LG TH NĂM (LK)</t>
  </si>
  <si>
    <t>% ĐẠT LG NĂM</t>
  </si>
  <si>
    <t>GHI CHÚ</t>
  </si>
  <si>
    <t>1</t>
  </si>
  <si>
    <t>Kinh doanh phân phối</t>
  </si>
  <si>
    <t>Bán buôn máy, linh kiện, KD sỉ</t>
  </si>
  <si>
    <t/>
  </si>
  <si>
    <t xml:space="preserve">  - [Đơn vị] Mảng phân phối / bán buôn</t>
  </si>
  <si>
    <t>Kênh đại lý, bán sỉ</t>
  </si>
  <si>
    <t>2</t>
  </si>
  <si>
    <t>Thuê Máy</t>
  </si>
  <si>
    <t>Thuê máy kỹ thuật &amp; KD thuê máy</t>
  </si>
  <si>
    <t xml:space="preserve">  - [Đơn vị] Hợp đồng thuê máy</t>
  </si>
  <si>
    <t>Hợp đồng thuê máy photo</t>
  </si>
  <si>
    <t>3</t>
  </si>
  <si>
    <t>Dịch Vụ</t>
  </si>
  <si>
    <t>DVKT, Tổ dịch vụ, mực in, metercharge</t>
  </si>
  <si>
    <t xml:space="preserve">  - [Đơn vị] Dịch vụ sửa chữa &amp; mực in</t>
  </si>
  <si>
    <t>Bảo trì sửa chữa, metercharge</t>
  </si>
  <si>
    <t>4</t>
  </si>
  <si>
    <t>Kinh doanh online</t>
  </si>
  <si>
    <t>E-commerce, Shopee-Online, trực tuyến</t>
  </si>
  <si>
    <t xml:space="preserve">  - [Đơn vị] Kênh bán lẻ trực tuyến / TMĐT</t>
  </si>
  <si>
    <t>Sàn TMĐT, website</t>
  </si>
  <si>
    <t>5</t>
  </si>
  <si>
    <t>Dự án</t>
  </si>
  <si>
    <t>Dự án văn phòng, CNTT, thiết bị</t>
  </si>
  <si>
    <t xml:space="preserve">  - [Đơn vị] Gói thầu thiết bị &amp; dự án</t>
  </si>
  <si>
    <t>Đấu thầu, cung cấp văn phòng</t>
  </si>
  <si>
    <t>6</t>
  </si>
  <si>
    <t>Kinh doanh tổng hợp</t>
  </si>
  <si>
    <t>Kinh doanh tổng hợp thương mại</t>
  </si>
  <si>
    <t xml:space="preserve">  - [Đơn vị] Kinh doanh tổng hợp</t>
  </si>
  <si>
    <t>Thương mại hàng hóa tổng hợp</t>
  </si>
  <si>
    <t>7</t>
  </si>
  <si>
    <t>Kinh doanh lẻ</t>
  </si>
  <si>
    <t>Cửa hàng, bán máy lẻ, showroom</t>
  </si>
  <si>
    <t xml:space="preserve">  - [Đơn vị] Showroom / Cửa hàng bán lẻ</t>
  </si>
  <si>
    <t>Điểm bán trực tiếp</t>
  </si>
  <si>
    <t>8</t>
  </si>
  <si>
    <t>Kinh doanh khác</t>
  </si>
  <si>
    <t>Bán nội bộ, thương mại khác, xuất khẩu</t>
  </si>
  <si>
    <t xml:space="preserve">  - [Đơn vị] Doanh thu nội bộ / khác</t>
  </si>
  <si>
    <t>Các nguồn thu khác</t>
  </si>
  <si>
    <t>TỔNG CỘNG (8 MẢNG KINH DOANH)</t>
  </si>
  <si>
    <t>Tổng hợp 8 mảng</t>
  </si>
  <si>
    <t>BÁO CÁO THEO DÕI CÔNG NỢ PHẢI THU (KỲ: 08/2026)</t>
  </si>
  <si>
    <t>Tháng/Năm</t>
  </si>
  <si>
    <t>Công ty</t>
  </si>
  <si>
    <t>Phải thu trong hạn (VNĐ)</t>
  </si>
  <si>
    <t>Nợ quá hạn (VNĐ)</t>
  </si>
  <si>
    <t>Nợ khó đòi (VNĐ)</t>
  </si>
  <si>
    <t>Tổng công nợ (VNĐ)</t>
  </si>
  <si>
    <t>08/2026</t>
  </si>
  <si>
    <t>Tân Hồng Hà</t>
  </si>
  <si>
    <t>Việt</t>
  </si>
  <si>
    <t>Xem Sơn</t>
  </si>
  <si>
    <t>VPS M</t>
  </si>
  <si>
    <t>ITSS</t>
  </si>
  <si>
    <t>Văn phòng VPS</t>
  </si>
  <si>
    <t>BÁO CÁO CƠ CẤU &amp; BIẾN ĐỘNG KHÁCH HÀNG (KỲ: 08/2026)</t>
  </si>
  <si>
    <t>Mảng kinh doanh</t>
  </si>
  <si>
    <t>Đầu kỳ</t>
  </si>
  <si>
    <t>Kế hoạch tháng</t>
  </si>
  <si>
    <t>Tăng trong kỳ</t>
  </si>
  <si>
    <t>Giảm trong kỳ</t>
  </si>
  <si>
    <t>Cuối kỳ</t>
  </si>
  <si>
    <t>Số Máy</t>
  </si>
  <si>
    <t>Số KH</t>
  </si>
  <si>
    <t>Thuê máy</t>
  </si>
  <si>
    <t>MC</t>
  </si>
  <si>
    <t>Dịch vụ - Photo</t>
  </si>
  <si>
    <t>Dịch vụ - Máy in</t>
  </si>
  <si>
    <t>Dịch vụ khác</t>
  </si>
  <si>
    <t>Phân phối (Đại lý)</t>
  </si>
  <si>
    <t>-</t>
  </si>
  <si>
    <t>BÁO CÁO QUẢN LÝ TỒN KHO VẬT TƯ &amp; THIẾT BỊ (KỲ: 08/2026)</t>
  </si>
  <si>
    <t>Danh mục</t>
  </si>
  <si>
    <t>Tên Vật tư/Thiết bị</t>
  </si>
  <si>
    <t>Đơn vị tính</t>
  </si>
  <si>
    <t>Số lượng</t>
  </si>
  <si>
    <t>Tổng Giá trị (VNĐ)</t>
  </si>
  <si>
    <t>Máy Photocopy</t>
  </si>
  <si>
    <t>Máy Photocopy Fujifilm Apeos 5570</t>
  </si>
  <si>
    <t>Chiếc</t>
  </si>
  <si>
    <t>Vật tư tiêu hao</t>
  </si>
  <si>
    <t>Mực máy in HP LaserJet Managed W9004MC</t>
  </si>
  <si>
    <t>Hộp</t>
  </si>
  <si>
    <t>Máy in</t>
  </si>
  <si>
    <t>Máy in đa chức năng HP LaserJet E826z</t>
  </si>
  <si>
    <t>Linh kiện thay thế</t>
  </si>
  <si>
    <t>Cụm Trống (Drum Unit) Fuji Xerox IV</t>
  </si>
  <si>
    <t>Cụm</t>
  </si>
  <si>
    <t>Máy Photocopy Ricoh MP 5055</t>
  </si>
  <si>
    <t>Thiết bị mạng &amp; Server</t>
  </si>
  <si>
    <t>Router &amp; Server giám sát hệ thống CRM</t>
  </si>
  <si>
    <t>Bộ</t>
  </si>
  <si>
    <t>BÁO CÁO CƠ CẤU TỔ CHỨC &amp; BIẾN ĐỘNG NHÂN SỰ (KỲ: 08/2026)</t>
  </si>
  <si>
    <t>Phòng ban</t>
  </si>
  <si>
    <t>Tổng NV Đầu kỳ</t>
  </si>
  <si>
    <t>Tuyển mới</t>
  </si>
  <si>
    <t>Nghỉ việc</t>
  </si>
  <si>
    <t>NV Thử việc</t>
  </si>
  <si>
    <t>Tổng NV Cuối kỳ</t>
  </si>
  <si>
    <t>Kinh doanh</t>
  </si>
  <si>
    <t>Kỹ thuật</t>
  </si>
  <si>
    <t>Kế toán</t>
  </si>
  <si>
    <t>Hành chính</t>
  </si>
  <si>
    <t>Kho/Giao vận</t>
  </si>
  <si>
    <t>BÁO CÁO DOANH THU THEO HÃNG VÀ NHÓM SẢN PHẨM (KỲ: 08/2026)</t>
  </si>
  <si>
    <t>CÔNG TY</t>
  </si>
  <si>
    <t>THÁNG</t>
  </si>
  <si>
    <t>HÃNG (HP/Fujifilm/Khác)</t>
  </si>
  <si>
    <t>NHÓM SẢN PHẨM</t>
  </si>
  <si>
    <t>DOANH THU (VNĐ)</t>
  </si>
  <si>
    <t>HP</t>
  </si>
  <si>
    <t>Fujifilm</t>
  </si>
  <si>
    <t>Mực in &amp; Linh kiện</t>
  </si>
  <si>
    <t>Máy in đa chức năng</t>
  </si>
  <si>
    <t>Máy in dự án</t>
  </si>
  <si>
    <t>Máy Photocopy kỹ thuật số</t>
  </si>
  <si>
    <t>Khác</t>
  </si>
  <si>
    <t>Phần mềm &amp; Bản quyền</t>
  </si>
  <si>
    <t>BÁO CÁO TỔNG HỢP CHI PHÍ THÁNG (VNĐ)</t>
  </si>
  <si>
    <t>PHÂN BỔ CHI PHÍ THEO CÁC BỘ PHẬN (VNĐ)</t>
  </si>
  <si>
    <t>NỘI DUNG CHI PHÍ</t>
  </si>
  <si>
    <t>KẾ HOẠCH</t>
  </si>
  <si>
    <t>THỰC HIỆN</t>
  </si>
  <si>
    <t>TỶ LỆ (%)</t>
  </si>
  <si>
    <t>DVKT</t>
  </si>
  <si>
    <t>KD BB</t>
  </si>
  <si>
    <t>KD BL-TH</t>
  </si>
  <si>
    <t>KD DA</t>
  </si>
  <si>
    <t>KD TM</t>
  </si>
  <si>
    <t>KD Khác</t>
  </si>
  <si>
    <t>BP Khác</t>
  </si>
  <si>
    <t>A</t>
  </si>
  <si>
    <t>TỔNG CHI PHÍ</t>
  </si>
  <si>
    <t>I</t>
  </si>
  <si>
    <t>Chi phí cố định</t>
  </si>
  <si>
    <t>Tiền lương &amp; phụ cấp nhân sự</t>
  </si>
  <si>
    <t>Thuê văn phòng, thuê kho</t>
  </si>
  <si>
    <t>Khấu hao TSCĐ &amp; phân bổ CCDC</t>
  </si>
  <si>
    <t>II</t>
  </si>
  <si>
    <t>Chi phí biến đổi</t>
  </si>
  <si>
    <t>Điện, nước, internet</t>
  </si>
  <si>
    <t>Vận chuyển hàng &amp; giao nhận</t>
  </si>
  <si>
    <t>Tiếp khách &amp; công tác phí</t>
  </si>
  <si>
    <t>Vật tư bảo hành &amp; sửa chữa</t>
  </si>
  <si>
    <t>III</t>
  </si>
  <si>
    <t>Chi phí lãi vay</t>
  </si>
  <si>
    <t>DANH MỤC QUY TRÌNH &amp; QUY ĐỊNH ISO DOANH NGHIỆP</t>
  </si>
  <si>
    <t>PHÒNG BAN</t>
  </si>
  <si>
    <t>TÊN QUY TRÌNH / QUY ĐỊNH</t>
  </si>
  <si>
    <t>PHÂN LOẠI (Quy trình/Quy định)</t>
  </si>
  <si>
    <t>Hành chính Nhân sự</t>
  </si>
  <si>
    <t>Quy trình tuyển dụng và hội nhập nhân sự</t>
  </si>
  <si>
    <t>Quy trình</t>
  </si>
  <si>
    <t>Quy định quản lý tạm ứng và thanh toán công tác phí</t>
  </si>
  <si>
    <t>Quy định</t>
  </si>
  <si>
    <t>Quy trình tiếp nhận và xử lý đơn hàng dự án</t>
  </si>
  <si>
    <t>Quy trình bảo hành bảo trì máy photocopy</t>
  </si>
  <si>
    <t>Kho vận</t>
  </si>
  <si>
    <t>Quy trình xuất nhập kho và kiểm kê hàng hóa</t>
  </si>
  <si>
    <t>Kỹ thuật Phần mềm</t>
  </si>
  <si>
    <t>Quy trình bảo mật thông tin và sao lưu dữ liệu CRM</t>
  </si>
  <si>
    <t>BÁO CÁO KẾT QUẢ ĐÀO TẠO NÂNG CAO NĂNG LỰC (KỲ: 08/2026)</t>
  </si>
  <si>
    <t>Nội dung đào tạo</t>
  </si>
  <si>
    <t>Đối tượng đào tạo</t>
  </si>
  <si>
    <t>Kế hoạch (Lượt)</t>
  </si>
  <si>
    <t>Thực tế (Lượt)</t>
  </si>
  <si>
    <t>Tỷ lệ (%)</t>
  </si>
  <si>
    <t>Ghi chú</t>
  </si>
  <si>
    <t>Kỹ năng bán hàng giải pháp &amp; thiết bị văn phòng chuyên sâu</t>
  </si>
  <si>
    <t>Khối Kinh doanh</t>
  </si>
  <si>
    <t>Đạt 93.3% kế hoạch</t>
  </si>
  <si>
    <t>Kỹ thuật vận hành, sửa chữa &amp; thay thế cụm sấy, trống máy photo</t>
  </si>
  <si>
    <t>Khối Kỹ thuật</t>
  </si>
  <si>
    <t>Hoàn thành tốt</t>
  </si>
  <si>
    <t>Quy trình kiểm soát chất lượng dịch vụ &amp; tiêu chuẩn 5S</t>
  </si>
  <si>
    <t>Toàn thể CBNV</t>
  </si>
  <si>
    <t>100% đạt bài kiểm tra</t>
  </si>
  <si>
    <t>Chính sách bảo hành và kỹ năng giao tiếp ái ngữ khách hàng</t>
  </si>
  <si>
    <t>Kỹ thuật, Điều phối</t>
  </si>
  <si>
    <t>Hoàn thành 100% chỉ tiêu</t>
  </si>
  <si>
    <t>BÁO CÁO ĐÁNH GIÁ CHẤT LƯỢNG KỸ THUẬT &amp; DỊCH VỤ TẬN TÂM</t>
  </si>
  <si>
    <t>Họ và tên</t>
  </si>
  <si>
    <t>Mã NV</t>
  </si>
  <si>
    <t>Bộ phận</t>
  </si>
  <si>
    <t>Số lượt việc</t>
  </si>
  <si>
    <t>Điểm TB</t>
  </si>
  <si>
    <t>Tổng điểm</t>
  </si>
  <si>
    <t>TG phản hồi (h)</t>
  </si>
  <si>
    <t>TG đến (h)</t>
  </si>
  <si>
    <t>TG xử lý (h)</t>
  </si>
  <si>
    <t>TG về (h)</t>
  </si>
  <si>
    <t>Biên bản lập</t>
  </si>
  <si>
    <t>Biên bản thay thế</t>
  </si>
  <si>
    <t>Thu hồi vật tư</t>
  </si>
  <si>
    <t>Tháng</t>
  </si>
  <si>
    <t>Cổ Phước Thịnh</t>
  </si>
  <si>
    <t>THINHCY</t>
  </si>
  <si>
    <t>Hồ Trung Nam</t>
  </si>
  <si>
    <t>NAMHT</t>
  </si>
  <si>
    <t>Phan Văn Nguyện</t>
  </si>
  <si>
    <t>NGUYENPV</t>
  </si>
  <si>
    <t>Trương Quốc Bảo</t>
  </si>
  <si>
    <t>BAOTQ</t>
  </si>
  <si>
    <t>BÁO CÁO THỰC THI CHỈ TIÊU VĂN HÓA DOANH NGHIỆP VPS</t>
  </si>
  <si>
    <t>NỘI DUNG CHỈ TIÊU VĂN HÓA</t>
  </si>
  <si>
    <t>KẾ HOẠCH (%)</t>
  </si>
  <si>
    <t>THỰC HIỆN (%)</t>
  </si>
  <si>
    <t>100% CBNV chính thức hiểu và tin sâu luật "Nhân - Quả"</t>
  </si>
  <si>
    <t>Đạt chỉ tiêu toàn diện</t>
  </si>
  <si>
    <t>100% CBNV chính thức giao tiếp ứng xử theo Tứ vô lượng tâm "Từ - Bi - Hỷ - Xả"</t>
  </si>
  <si>
    <t>Thực hành văn hóa ái ngữ tốt</t>
  </si>
  <si>
    <t>100% CBNV chính thức được quy y Tam Bảo: Phật - Pháp - Tăng</t>
  </si>
  <si>
    <t>Đang hướng dẫn các nhân sự mới</t>
  </si>
  <si>
    <t>100% CBNV chính thức sẽ đạt 03 Tín chỉ phật pháp trong thời gian 02 năm</t>
  </si>
  <si>
    <t>Kế hoạch học kỳ tiếp theo</t>
  </si>
  <si>
    <t>100% CBNV cam kết trung thực, tận tâm phụng sự khách hàng</t>
  </si>
  <si>
    <t>Khách hàng đánh giá rất cao</t>
  </si>
  <si>
    <t>BÁO CÁO PHÁT TRIỂN THƯƠNG HIỆU &amp; THỊ PHẦN</t>
  </si>
  <si>
    <t>CHỈ TIÊU THƯƠNG HIỆU</t>
  </si>
  <si>
    <t>ĐƠN VỊ TÍNH</t>
  </si>
  <si>
    <t>Tăng trưởng thị phần máy photocopy &amp; in ấn</t>
  </si>
  <si>
    <t>%</t>
  </si>
  <si>
    <t>Mục tiêu năm tăng trưởng 20%</t>
  </si>
  <si>
    <t>Tỷ trọng doanh số kênh bán hàng trực tiếp</t>
  </si>
  <si>
    <t>Kế hoạch 30% tổng doanh số</t>
  </si>
  <si>
    <t>Độ nhận diện thương hiệu &amp; Khách hàng hài lòng</t>
  </si>
  <si>
    <t>Vượt chỉ tiêu cam kết</t>
  </si>
  <si>
    <t>Phát triển Khách hàng lẻ mới trong kỳ</t>
  </si>
  <si>
    <t>Khách hàng</t>
  </si>
  <si>
    <t>Đạt 95.8% kế hoạch giao</t>
  </si>
  <si>
    <t>BÁO CÁO THEO DÕI KHÁCH HÀNG &amp; DOANH SỐ DỰ ÁN (KỲ: 08/2026)</t>
  </si>
  <si>
    <t>TÊN DỰ ÁN</t>
  </si>
  <si>
    <t>ĐƠN VỊ QUẢN LÝ</t>
  </si>
  <si>
    <t>TÊN ĐƠN VỊ / CHI NHÁNH</t>
  </si>
  <si>
    <t>MÁY HP E826z (SL)</t>
  </si>
  <si>
    <t>MÁY HP E731z (SL)</t>
  </si>
  <si>
    <t>TÊN - SĐT LIÊN HỆ</t>
  </si>
  <si>
    <t>ĐỊA CHỈ</t>
  </si>
  <si>
    <t>ĐẠI LÝ LẮP ĐẶT</t>
  </si>
  <si>
    <t>SL TRỐNG, MỰC BÁN</t>
  </si>
  <si>
    <t>LKIỆN KHÁC (SL)</t>
  </si>
  <si>
    <t>DOANH SỐ THÁNG (VNĐ)</t>
  </si>
  <si>
    <t>AGRIBANK</t>
  </si>
  <si>
    <t>Lai Châu (H. Phong Thổ)</t>
  </si>
  <si>
    <t>c Hoàn-KTNQ - 0945138228</t>
  </si>
  <si>
    <t>Thị Trấn Phong Thổ, Lai Châu</t>
  </si>
  <si>
    <t>Công ty Tiến Lộc</t>
  </si>
  <si>
    <t>MOBIPHONE</t>
  </si>
  <si>
    <t>Chi nhánh Hà Nội</t>
  </si>
  <si>
    <t>a Tuấn-CNTT - 0904123456</t>
  </si>
  <si>
    <t>Quận Cầu Giấy, Hà Nội</t>
  </si>
  <si>
    <t>Công ty Đại Phát</t>
  </si>
  <si>
    <t>VIETINBANK</t>
  </si>
  <si>
    <t>Chi nhánh Đà Nẵng</t>
  </si>
  <si>
    <t>c Lan-P.Hành chính</t>
  </si>
  <si>
    <t>Quận Hải Châu, Đà Nẵng</t>
  </si>
  <si>
    <t>Công ty Miền Trung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</si>
</sst>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quot;%&quot;"/>
  </numFmts>
  <fonts count="8" x14ac:knownFonts="1">
    <font>
      <color theme="1"/>
      <family val="2"/>
      <scheme val="minor"/>
      <sz val="11"/>
      <name val="Calibri"/>
    </font>
    <font>
      <b/>
      <color rgb="FF1F4E78"/>
      <sz val="14"/>
      <name val="Arial"/>
    </font>
    <font>
      <b/>
      <color rgb="FF2F5597"/>
      <sz val="11"/>
      <name val="Arial"/>
    </font>
    <font>
      <sz val="10"/>
      <name val="Arial"/>
    </font>
    <font>
      <b/>
      <color rgb="FFFFFFFF"/>
      <sz val="14"/>
      <name val="Arial"/>
    </font>
    <font>
      <b/>
      <color rgb="FFFFFFFF"/>
      <sz val="10"/>
      <name val="Arial"/>
    </font>
    <font>
      <b/>
      <sz val="10"/>
      <name val="Arial"/>
    </font>
    <font>
      <b/>
      <color rgb="FF92400E"/>
      <sz val="10"/>
      <name val="Arial"/>
    </font>
  </fonts>
  <fills count="7">
    <fill>
      <patternFill patternType="none"/>
    </fill>
    <fill>
      <patternFill patternType="gray125"/>
    </fill>
    <fill>
      <patternFill patternType="solid">
        <fgColor rgb="FF1F4E78"/>
      </patternFill>
    </fill>
    <fill>
      <patternFill patternType="solid">
        <fgColor rgb="FF2F5597"/>
      </patternFill>
    </fill>
    <fill>
      <patternFill patternType="solid">
        <fgColor rgb="FFF1F5F9"/>
      </patternFill>
    </fill>
    <fill>
      <patternFill patternType="solid">
        <fgColor rgb="FFFEF3C7"/>
      </patternFill>
    </fill>
    <fill>
      <patternFill patternType="solid">
        <f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3" fillId="0" borderId="0" xfId="0" applyFont="1" applyAlignment="1">
      <alignment vertical="center" wrapText="1"/>
    </xf>
    <xf numFmtId="0" fontId="4" fillId="2" borderId="0" xfId="0" applyFont="1" applyFill="1" applyAlignment="1">
      <alignment horizontal="center" vertical="center" wrapText="1"/>
    </xf>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3" fontId="6" fillId="4" borderId="1" xfId="0" applyNumberFormat="1" applyFont="1" applyFill="1" applyBorder="1" applyAlignment="1">
      <alignment vertical="center"/>
    </xf>
    <xf numFmtId="164" fontId="6" fillId="4" borderId="1" xfId="0" applyNumberFormat="1" applyFont="1" applyFill="1" applyBorder="1" applyAlignment="1">
      <alignment vertical="center"/>
    </xf>
    <xf numFmtId="0" fontId="6" fillId="4" borderId="1" xfId="0" applyFont="1" applyFill="1" applyBorder="1" applyAlignment="1">
      <alignment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3" fontId="3" fillId="0" borderId="1" xfId="0" applyNumberFormat="1" applyFont="1" applyBorder="1" applyAlignment="1">
      <alignment vertical="center"/>
    </xf>
    <xf numFmtId="164" fontId="3" fillId="0" borderId="1" xfId="0" applyNumberFormat="1" applyFont="1" applyBorder="1" applyAlignment="1">
      <alignment vertical="center"/>
    </xf>
    <xf numFmtId="0" fontId="3" fillId="0" borderId="1" xfId="0" applyFont="1" applyBorder="1" applyAlignment="1">
      <alignment vertical="center"/>
    </xf>
    <xf numFmtId="0" fontId="7" fillId="5" borderId="1" xfId="0" applyFont="1" applyFill="1" applyBorder="1" applyAlignment="1">
      <alignment vertical="center"/>
    </xf>
    <xf numFmtId="0" fontId="7" fillId="5" borderId="1" xfId="0" applyFont="1" applyFill="1" applyBorder="1" applyAlignment="1">
      <alignment horizontal="left" vertical="center" wrapText="1"/>
    </xf>
    <xf numFmtId="3" fontId="7" fillId="5" borderId="1" xfId="0" applyNumberFormat="1" applyFont="1" applyFill="1" applyBorder="1" applyAlignment="1">
      <alignment vertical="center"/>
    </xf>
    <xf numFmtId="164" fontId="7" fillId="5" borderId="1" xfId="0" applyNumberFormat="1" applyFont="1" applyFill="1" applyBorder="1" applyAlignment="1">
      <alignment vertical="center"/>
    </xf>
    <xf numFmtId="3" fontId="3" fillId="0" borderId="1" xfId="0" applyNumberFormat="1" applyFont="1" applyBorder="1" applyAlignment="1">
      <alignment horizontal="center" vertical="center" wrapText="1"/>
    </xf>
    <xf numFmtId="3" fontId="3" fillId="0" borderId="1" xfId="0" applyNumberFormat="1" applyFont="1" applyBorder="1" applyAlignment="1">
      <alignment horizontal="right" vertical="center"/>
    </xf>
    <xf numFmtId="0" fontId="4" fillId="3" borderId="0" xfId="0" applyFont="1" applyFill="1" applyAlignment="1">
      <alignment horizontal="center" vertical="center" wrapText="1"/>
    </xf>
    <xf numFmtId="0" fontId="6" fillId="6"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3" fontId="6" fillId="6" borderId="1" xfId="0" applyNumberFormat="1" applyFont="1" applyFill="1" applyBorder="1" applyAlignment="1">
      <alignment vertical="center"/>
    </xf>
    <xf numFmtId="165" fontId="6" fillId="6" borderId="1" xfId="0" applyNumberFormat="1" applyFont="1" applyFill="1" applyBorder="1" applyAlignment="1">
      <alignment vertical="center"/>
    </xf>
    <xf numFmtId="3" fontId="6" fillId="6" borderId="1" xfId="0" applyNumberFormat="1" applyFont="1" applyFill="1" applyBorder="1" applyAlignment="1">
      <alignment horizontal="right" vertical="center"/>
    </xf>
    <xf numFmtId="165" fontId="3" fillId="0" borderId="1" xfId="0" applyNumberFormat="1" applyFont="1" applyBorder="1" applyAlignment="1">
      <alignment vertical="center"/>
    </xf>
    <xf numFmtId="164" fontId="3"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1"/>
  <sheetViews>
    <sheetView workbookViewId="0"/>
  </sheetViews>
  <sheetFormatPr defaultRowHeight="15" outlineLevelRow="0" outlineLevelCol="0" x14ac:dyDescent="55"/>
  <cols>
    <col min="1" max="1" width="6" customWidth="1"/>
    <col min="2" max="2" width="32" customWidth="1"/>
    <col min="3" max="3" width="85" customWidth="1"/>
  </cols>
  <sheetData>
    <row r="2" ht="30" customHeight="1" spans="2:3" x14ac:dyDescent="0.25">
      <c r="B2" s="1" t="s">
        <v>0</v>
      </c>
      <c r="C2" s="1"/>
    </row>
    <row r="4" ht="26" customHeight="1" spans="2:3" x14ac:dyDescent="0.25">
      <c r="B4" s="2" t="s">
        <v>1</v>
      </c>
      <c r="C4" s="3" t="s">
        <v>2</v>
      </c>
    </row>
    <row r="5" ht="26" customHeight="1" spans="2:3" x14ac:dyDescent="0.25">
      <c r="B5" s="2" t="s">
        <v>3</v>
      </c>
      <c r="C5" s="3" t="s">
        <v>4</v>
      </c>
    </row>
    <row r="6" ht="26" customHeight="1" spans="2:3" x14ac:dyDescent="0.25">
      <c r="B6" s="2" t="s">
        <v>5</v>
      </c>
      <c r="C6" s="3" t="s">
        <v>6</v>
      </c>
    </row>
    <row r="7" ht="26" customHeight="1" spans="2:3" x14ac:dyDescent="0.25">
      <c r="B7" s="2" t="s">
        <v>7</v>
      </c>
      <c r="C7" s="3" t="s">
        <v>8</v>
      </c>
    </row>
    <row r="8" ht="26" customHeight="1" spans="2:3" x14ac:dyDescent="0.25">
      <c r="B8" s="2" t="s">
        <v>9</v>
      </c>
      <c r="C8" s="3" t="s">
        <v>10</v>
      </c>
    </row>
    <row r="9" ht="26" customHeight="1" spans="2:3" x14ac:dyDescent="0.25">
      <c r="B9" s="2" t="s">
        <v>11</v>
      </c>
      <c r="C9" s="3" t="s">
        <v>12</v>
      </c>
    </row>
    <row r="10" ht="26" customHeight="1" spans="2:3" x14ac:dyDescent="0.25">
      <c r="B10" s="2" t="s">
        <v>13</v>
      </c>
      <c r="C10" s="3" t="s">
        <v>14</v>
      </c>
    </row>
    <row r="11" ht="26" customHeight="1" spans="2:3" x14ac:dyDescent="0.25">
      <c r="B11" s="2" t="s">
        <v>15</v>
      </c>
      <c r="C11" s="3" t="s">
        <v>16</v>
      </c>
    </row>
  </sheetData>
  <mergeCells count="1">
    <mergeCell ref="B2:C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
  <sheetViews>
    <sheetView workbookViewId="0">
      <pane ySplit="2" topLeftCell="A3" activePane="bottomLeft" state="frozen"/>
      <selection pane="bottomLeft"/>
    </sheetView>
  </sheetViews>
  <sheetFormatPr defaultRowHeight="15" outlineLevelRow="0" outlineLevelCol="0" x14ac:dyDescent="55"/>
  <cols>
    <col min="1" max="1" width="8" customWidth="1"/>
    <col min="2" max="2" width="36" customWidth="1"/>
    <col min="3" max="4" width="16" customWidth="1"/>
    <col min="5" max="5" width="15" customWidth="1"/>
    <col min="6" max="7" width="16" customWidth="1"/>
    <col min="8" max="8" width="15" customWidth="1"/>
    <col min="9" max="9" width="14" customWidth="1"/>
    <col min="10" max="11" width="16" customWidth="1"/>
    <col min="12" max="12" width="15" customWidth="1"/>
    <col min="13" max="14" width="16" customWidth="1"/>
    <col min="15" max="15" width="15" customWidth="1"/>
    <col min="16" max="16" width="32" customWidth="1"/>
  </cols>
  <sheetData>
    <row r="1" ht="32" customHeight="1" spans="1:16" x14ac:dyDescent="0.25">
      <c r="A1" s="4" t="s">
        <v>17</v>
      </c>
      <c r="B1" s="4"/>
      <c r="C1" s="4"/>
      <c r="D1" s="4"/>
      <c r="E1" s="4"/>
      <c r="F1" s="4"/>
      <c r="G1" s="4"/>
      <c r="H1" s="4"/>
      <c r="I1" s="4"/>
      <c r="J1" s="4"/>
      <c r="K1" s="4"/>
      <c r="L1" s="4"/>
      <c r="M1" s="4"/>
      <c r="N1" s="4"/>
      <c r="O1" s="4"/>
      <c r="P1" s="4"/>
    </row>
    <row r="2" ht="28" customHeight="1" spans="1:16" x14ac:dyDescent="0.25">
      <c r="A2" s="5" t="s">
        <v>18</v>
      </c>
      <c r="B2" s="5" t="s">
        <v>19</v>
      </c>
      <c r="C2" s="5" t="s">
        <v>20</v>
      </c>
      <c r="D2" s="5" t="s">
        <v>21</v>
      </c>
      <c r="E2" s="5" t="s">
        <v>22</v>
      </c>
      <c r="F2" s="5" t="s">
        <v>23</v>
      </c>
      <c r="G2" s="5" t="s">
        <v>24</v>
      </c>
      <c r="H2" s="5" t="s">
        <v>25</v>
      </c>
      <c r="I2" s="5" t="s">
        <v>26</v>
      </c>
      <c r="J2" s="5" t="s">
        <v>27</v>
      </c>
      <c r="K2" s="5" t="s">
        <v>28</v>
      </c>
      <c r="L2" s="5" t="s">
        <v>29</v>
      </c>
      <c r="M2" s="5" t="s">
        <v>30</v>
      </c>
      <c r="N2" s="5" t="s">
        <v>31</v>
      </c>
      <c r="O2" s="5" t="s">
        <v>32</v>
      </c>
      <c r="P2" s="5" t="s">
        <v>33</v>
      </c>
    </row>
    <row r="3" ht="22" customHeight="1" spans="1:16" x14ac:dyDescent="0.25">
      <c r="A3" s="6" t="s">
        <v>34</v>
      </c>
      <c r="B3" s="7" t="s">
        <v>35</v>
      </c>
      <c r="C3" s="8">
        <v>5000</v>
      </c>
      <c r="D3" s="8">
        <v>5200</v>
      </c>
      <c r="E3" s="9">
        <f>IF(C3=0,"-",D3/C3)</f>
      </c>
      <c r="F3" s="8">
        <v>500</v>
      </c>
      <c r="G3" s="8">
        <v>580</v>
      </c>
      <c r="H3" s="9">
        <f>IF(F3=0,"-",G3/F3)</f>
      </c>
      <c r="I3" s="9">
        <f>IF(D3=0,"-",G3/D3)</f>
      </c>
      <c r="J3" s="8">
        <v>60000</v>
      </c>
      <c r="K3" s="8">
        <v>45000</v>
      </c>
      <c r="L3" s="9">
        <f>IF(J3=0,"-",K3/J3)</f>
      </c>
      <c r="M3" s="8">
        <v>6000</v>
      </c>
      <c r="N3" s="8">
        <v>5000</v>
      </c>
      <c r="O3" s="9">
        <f>IF(M3=0,"-",N3/M3)</f>
      </c>
      <c r="P3" s="10" t="s">
        <v>36</v>
      </c>
    </row>
    <row r="4" ht="22" customHeight="1" spans="1:16" x14ac:dyDescent="0.25">
      <c r="A4" s="11" t="s">
        <v>37</v>
      </c>
      <c r="B4" s="12" t="s">
        <v>38</v>
      </c>
      <c r="C4" s="13">
        <v>5000</v>
      </c>
      <c r="D4" s="13">
        <v>5200</v>
      </c>
      <c r="E4" s="14">
        <f>IF(C4=0,"-",D4/C4)</f>
      </c>
      <c r="F4" s="13">
        <v>500</v>
      </c>
      <c r="G4" s="13">
        <v>580</v>
      </c>
      <c r="H4" s="14">
        <f>IF(F4=0,"-",G4/F4)</f>
      </c>
      <c r="I4" s="14">
        <f>IF(D4=0,"-",G4/D4)</f>
      </c>
      <c r="J4" s="13">
        <v>60000</v>
      </c>
      <c r="K4" s="13">
        <v>45000</v>
      </c>
      <c r="L4" s="14">
        <f>IF(J4=0,"-",K4/J4)</f>
      </c>
      <c r="M4" s="13">
        <v>6000</v>
      </c>
      <c r="N4" s="13">
        <v>5000</v>
      </c>
      <c r="O4" s="14">
        <f>IF(M4=0,"-",N4/M4)</f>
      </c>
      <c r="P4" s="15" t="s">
        <v>39</v>
      </c>
    </row>
    <row r="5" ht="22" customHeight="1" spans="1:16" x14ac:dyDescent="0.25">
      <c r="A5" s="6" t="s">
        <v>40</v>
      </c>
      <c r="B5" s="7" t="s">
        <v>41</v>
      </c>
      <c r="C5" s="8">
        <v>1500</v>
      </c>
      <c r="D5" s="8">
        <v>1620</v>
      </c>
      <c r="E5" s="9">
        <f>IF(C5=0,"-",D5/C5)</f>
      </c>
      <c r="F5" s="8">
        <v>600</v>
      </c>
      <c r="G5" s="8">
        <v>680</v>
      </c>
      <c r="H5" s="9">
        <f>IF(F5=0,"-",G5/F5)</f>
      </c>
      <c r="I5" s="9">
        <f>IF(D5=0,"-",G5/D5)</f>
      </c>
      <c r="J5" s="8">
        <v>18000</v>
      </c>
      <c r="K5" s="8">
        <v>13500</v>
      </c>
      <c r="L5" s="9">
        <f>IF(J5=0,"-",K5/J5)</f>
      </c>
      <c r="M5" s="8">
        <v>7200</v>
      </c>
      <c r="N5" s="8">
        <v>5600</v>
      </c>
      <c r="O5" s="9">
        <f>IF(M5=0,"-",N5/M5)</f>
      </c>
      <c r="P5" s="10" t="s">
        <v>42</v>
      </c>
    </row>
    <row r="6" ht="22" customHeight="1" spans="1:16" x14ac:dyDescent="0.25">
      <c r="A6" s="11" t="s">
        <v>37</v>
      </c>
      <c r="B6" s="12" t="s">
        <v>43</v>
      </c>
      <c r="C6" s="13">
        <v>1500</v>
      </c>
      <c r="D6" s="13">
        <v>1620</v>
      </c>
      <c r="E6" s="14">
        <f>IF(C6=0,"-",D6/C6)</f>
      </c>
      <c r="F6" s="13">
        <v>600</v>
      </c>
      <c r="G6" s="13">
        <v>680</v>
      </c>
      <c r="H6" s="14">
        <f>IF(F6=0,"-",G6/F6)</f>
      </c>
      <c r="I6" s="14">
        <f>IF(D6=0,"-",G6/D6)</f>
      </c>
      <c r="J6" s="13">
        <v>18000</v>
      </c>
      <c r="K6" s="13">
        <v>13500</v>
      </c>
      <c r="L6" s="14">
        <f>IF(J6=0,"-",K6/J6)</f>
      </c>
      <c r="M6" s="13">
        <v>7200</v>
      </c>
      <c r="N6" s="13">
        <v>5600</v>
      </c>
      <c r="O6" s="14">
        <f>IF(M6=0,"-",N6/M6)</f>
      </c>
      <c r="P6" s="15" t="s">
        <v>44</v>
      </c>
    </row>
    <row r="7" ht="22" customHeight="1" spans="1:16" x14ac:dyDescent="0.25">
      <c r="A7" s="6" t="s">
        <v>45</v>
      </c>
      <c r="B7" s="7" t="s">
        <v>46</v>
      </c>
      <c r="C7" s="8">
        <v>1200</v>
      </c>
      <c r="D7" s="8">
        <v>1300</v>
      </c>
      <c r="E7" s="9">
        <f>IF(C7=0,"-",D7/C7)</f>
      </c>
      <c r="F7" s="8">
        <v>450</v>
      </c>
      <c r="G7" s="8">
        <v>510</v>
      </c>
      <c r="H7" s="9">
        <f>IF(F7=0,"-",G7/F7)</f>
      </c>
      <c r="I7" s="9">
        <f>IF(D7=0,"-",G7/D7)</f>
      </c>
      <c r="J7" s="8">
        <v>14000</v>
      </c>
      <c r="K7" s="8">
        <v>10500</v>
      </c>
      <c r="L7" s="9">
        <f>IF(J7=0,"-",K7/J7)</f>
      </c>
      <c r="M7" s="8">
        <v>5200</v>
      </c>
      <c r="N7" s="8">
        <v>4100</v>
      </c>
      <c r="O7" s="9">
        <f>IF(M7=0,"-",N7/M7)</f>
      </c>
      <c r="P7" s="10" t="s">
        <v>47</v>
      </c>
    </row>
    <row r="8" ht="22" customHeight="1" spans="1:16" x14ac:dyDescent="0.25">
      <c r="A8" s="11" t="s">
        <v>37</v>
      </c>
      <c r="B8" s="12" t="s">
        <v>48</v>
      </c>
      <c r="C8" s="13">
        <v>1200</v>
      </c>
      <c r="D8" s="13">
        <v>1300</v>
      </c>
      <c r="E8" s="14">
        <f>IF(C8=0,"-",D8/C8)</f>
      </c>
      <c r="F8" s="13">
        <v>450</v>
      </c>
      <c r="G8" s="13">
        <v>510</v>
      </c>
      <c r="H8" s="14">
        <f>IF(F8=0,"-",G8/F8)</f>
      </c>
      <c r="I8" s="14">
        <f>IF(D8=0,"-",G8/D8)</f>
      </c>
      <c r="J8" s="13">
        <v>14000</v>
      </c>
      <c r="K8" s="13">
        <v>10500</v>
      </c>
      <c r="L8" s="14">
        <f>IF(J8=0,"-",K8/J8)</f>
      </c>
      <c r="M8" s="13">
        <v>5200</v>
      </c>
      <c r="N8" s="13">
        <v>4100</v>
      </c>
      <c r="O8" s="14">
        <f>IF(M8=0,"-",N8/M8)</f>
      </c>
      <c r="P8" s="15" t="s">
        <v>49</v>
      </c>
    </row>
    <row r="9" ht="22" customHeight="1" spans="1:16" x14ac:dyDescent="0.25">
      <c r="A9" s="6" t="s">
        <v>50</v>
      </c>
      <c r="B9" s="7" t="s">
        <v>51</v>
      </c>
      <c r="C9" s="8">
        <v>800</v>
      </c>
      <c r="D9" s="8">
        <v>850</v>
      </c>
      <c r="E9" s="9">
        <f>IF(C9=0,"-",D9/C9)</f>
      </c>
      <c r="F9" s="8">
        <v>80</v>
      </c>
      <c r="G9" s="8">
        <v>95</v>
      </c>
      <c r="H9" s="9">
        <f>IF(F9=0,"-",G9/F9)</f>
      </c>
      <c r="I9" s="9">
        <f>IF(D9=0,"-",G9/D9)</f>
      </c>
      <c r="J9" s="8">
        <v>9600</v>
      </c>
      <c r="K9" s="8">
        <v>7200</v>
      </c>
      <c r="L9" s="9">
        <f>IF(J9=0,"-",K9/J9)</f>
      </c>
      <c r="M9" s="8">
        <v>960</v>
      </c>
      <c r="N9" s="8">
        <v>750</v>
      </c>
      <c r="O9" s="9">
        <f>IF(M9=0,"-",N9/M9)</f>
      </c>
      <c r="P9" s="10" t="s">
        <v>52</v>
      </c>
    </row>
    <row r="10" ht="22" customHeight="1" spans="1:16" x14ac:dyDescent="0.25">
      <c r="A10" s="11" t="s">
        <v>37</v>
      </c>
      <c r="B10" s="12" t="s">
        <v>53</v>
      </c>
      <c r="C10" s="13">
        <v>800</v>
      </c>
      <c r="D10" s="13">
        <v>850</v>
      </c>
      <c r="E10" s="14">
        <f>IF(C10=0,"-",D10/C10)</f>
      </c>
      <c r="F10" s="13">
        <v>80</v>
      </c>
      <c r="G10" s="13">
        <v>95</v>
      </c>
      <c r="H10" s="14">
        <f>IF(F10=0,"-",G10/F10)</f>
      </c>
      <c r="I10" s="14">
        <f>IF(D10=0,"-",G10/D10)</f>
      </c>
      <c r="J10" s="13">
        <v>9600</v>
      </c>
      <c r="K10" s="13">
        <v>7200</v>
      </c>
      <c r="L10" s="14">
        <f>IF(J10=0,"-",K10/J10)</f>
      </c>
      <c r="M10" s="13">
        <v>960</v>
      </c>
      <c r="N10" s="13">
        <v>750</v>
      </c>
      <c r="O10" s="14">
        <f>IF(M10=0,"-",N10/M10)</f>
      </c>
      <c r="P10" s="15" t="s">
        <v>54</v>
      </c>
    </row>
    <row r="11" ht="22" customHeight="1" spans="1:16" x14ac:dyDescent="0.25">
      <c r="A11" s="6" t="s">
        <v>55</v>
      </c>
      <c r="B11" s="7" t="s">
        <v>56</v>
      </c>
      <c r="C11" s="8">
        <v>2000</v>
      </c>
      <c r="D11" s="8">
        <v>2100</v>
      </c>
      <c r="E11" s="9">
        <f>IF(C11=0,"-",D11/C11)</f>
      </c>
      <c r="F11" s="8">
        <v>800</v>
      </c>
      <c r="G11" s="8">
        <v>850</v>
      </c>
      <c r="H11" s="9">
        <f>IF(F11=0,"-",G11/F11)</f>
      </c>
      <c r="I11" s="9">
        <f>IF(D11=0,"-",G11/D11)</f>
      </c>
      <c r="J11" s="8">
        <v>24000</v>
      </c>
      <c r="K11" s="8">
        <v>18000</v>
      </c>
      <c r="L11" s="9">
        <f>IF(J11=0,"-",K11/J11)</f>
      </c>
      <c r="M11" s="8">
        <v>9600</v>
      </c>
      <c r="N11" s="8">
        <v>7500</v>
      </c>
      <c r="O11" s="9">
        <f>IF(M11=0,"-",N11/M11)</f>
      </c>
      <c r="P11" s="10" t="s">
        <v>57</v>
      </c>
    </row>
    <row r="12" ht="22" customHeight="1" spans="1:16" x14ac:dyDescent="0.25">
      <c r="A12" s="11" t="s">
        <v>37</v>
      </c>
      <c r="B12" s="12" t="s">
        <v>58</v>
      </c>
      <c r="C12" s="13">
        <v>2000</v>
      </c>
      <c r="D12" s="13">
        <v>2100</v>
      </c>
      <c r="E12" s="14">
        <f>IF(C12=0,"-",D12/C12)</f>
      </c>
      <c r="F12" s="13">
        <v>800</v>
      </c>
      <c r="G12" s="13">
        <v>850</v>
      </c>
      <c r="H12" s="14">
        <f>IF(F12=0,"-",G12/F12)</f>
      </c>
      <c r="I12" s="14">
        <f>IF(D12=0,"-",G12/D12)</f>
      </c>
      <c r="J12" s="13">
        <v>24000</v>
      </c>
      <c r="K12" s="13">
        <v>18000</v>
      </c>
      <c r="L12" s="14">
        <f>IF(J12=0,"-",K12/J12)</f>
      </c>
      <c r="M12" s="13">
        <v>9600</v>
      </c>
      <c r="N12" s="13">
        <v>7500</v>
      </c>
      <c r="O12" s="14">
        <f>IF(M12=0,"-",N12/M12)</f>
      </c>
      <c r="P12" s="15" t="s">
        <v>59</v>
      </c>
    </row>
    <row r="13" ht="22" customHeight="1" spans="1:16" x14ac:dyDescent="0.25">
      <c r="A13" s="6" t="s">
        <v>60</v>
      </c>
      <c r="B13" s="7" t="s">
        <v>61</v>
      </c>
      <c r="C13" s="8">
        <v>1000</v>
      </c>
      <c r="D13" s="8">
        <v>1050</v>
      </c>
      <c r="E13" s="9">
        <f>IF(C13=0,"-",D13/C13)</f>
      </c>
      <c r="F13" s="8">
        <v>100</v>
      </c>
      <c r="G13" s="8">
        <v>110</v>
      </c>
      <c r="H13" s="9">
        <f>IF(F13=0,"-",G13/F13)</f>
      </c>
      <c r="I13" s="9">
        <f>IF(D13=0,"-",G13/D13)</f>
      </c>
      <c r="J13" s="8">
        <v>12000</v>
      </c>
      <c r="K13" s="8">
        <v>9000</v>
      </c>
      <c r="L13" s="9">
        <f>IF(J13=0,"-",K13/J13)</f>
      </c>
      <c r="M13" s="8">
        <v>1200</v>
      </c>
      <c r="N13" s="8">
        <v>950</v>
      </c>
      <c r="O13" s="9">
        <f>IF(M13=0,"-",N13/M13)</f>
      </c>
      <c r="P13" s="10" t="s">
        <v>62</v>
      </c>
    </row>
    <row r="14" ht="22" customHeight="1" spans="1:16" x14ac:dyDescent="0.25">
      <c r="A14" s="11" t="s">
        <v>37</v>
      </c>
      <c r="B14" s="12" t="s">
        <v>63</v>
      </c>
      <c r="C14" s="13">
        <v>1000</v>
      </c>
      <c r="D14" s="13">
        <v>1050</v>
      </c>
      <c r="E14" s="14">
        <f>IF(C14=0,"-",D14/C14)</f>
      </c>
      <c r="F14" s="13">
        <v>100</v>
      </c>
      <c r="G14" s="13">
        <v>110</v>
      </c>
      <c r="H14" s="14">
        <f>IF(F14=0,"-",G14/F14)</f>
      </c>
      <c r="I14" s="14">
        <f>IF(D14=0,"-",G14/D14)</f>
      </c>
      <c r="J14" s="13">
        <v>12000</v>
      </c>
      <c r="K14" s="13">
        <v>9000</v>
      </c>
      <c r="L14" s="14">
        <f>IF(J14=0,"-",K14/J14)</f>
      </c>
      <c r="M14" s="13">
        <v>1200</v>
      </c>
      <c r="N14" s="13">
        <v>950</v>
      </c>
      <c r="O14" s="14">
        <f>IF(M14=0,"-",N14/M14)</f>
      </c>
      <c r="P14" s="15" t="s">
        <v>64</v>
      </c>
    </row>
    <row r="15" ht="22" customHeight="1" spans="1:16" x14ac:dyDescent="0.25">
      <c r="A15" s="6" t="s">
        <v>65</v>
      </c>
      <c r="B15" s="7" t="s">
        <v>66</v>
      </c>
      <c r="C15" s="8">
        <v>300</v>
      </c>
      <c r="D15" s="8">
        <v>320</v>
      </c>
      <c r="E15" s="9">
        <f>IF(C15=0,"-",D15/C15)</f>
      </c>
      <c r="F15" s="8">
        <v>60</v>
      </c>
      <c r="G15" s="8">
        <v>70</v>
      </c>
      <c r="H15" s="9">
        <f>IF(F15=0,"-",G15/F15)</f>
      </c>
      <c r="I15" s="9">
        <f>IF(D15=0,"-",G15/D15)</f>
      </c>
      <c r="J15" s="8">
        <v>3600</v>
      </c>
      <c r="K15" s="8">
        <v>2700</v>
      </c>
      <c r="L15" s="9">
        <f>IF(J15=0,"-",K15/J15)</f>
      </c>
      <c r="M15" s="8">
        <v>720</v>
      </c>
      <c r="N15" s="8">
        <v>580</v>
      </c>
      <c r="O15" s="9">
        <f>IF(M15=0,"-",N15/M15)</f>
      </c>
      <c r="P15" s="10" t="s">
        <v>67</v>
      </c>
    </row>
    <row r="16" ht="22" customHeight="1" spans="1:16" x14ac:dyDescent="0.25">
      <c r="A16" s="11" t="s">
        <v>37</v>
      </c>
      <c r="B16" s="12" t="s">
        <v>68</v>
      </c>
      <c r="C16" s="13">
        <v>300</v>
      </c>
      <c r="D16" s="13">
        <v>320</v>
      </c>
      <c r="E16" s="14">
        <f>IF(C16=0,"-",D16/C16)</f>
      </c>
      <c r="F16" s="13">
        <v>60</v>
      </c>
      <c r="G16" s="13">
        <v>70</v>
      </c>
      <c r="H16" s="14">
        <f>IF(F16=0,"-",G16/F16)</f>
      </c>
      <c r="I16" s="14">
        <f>IF(D16=0,"-",G16/D16)</f>
      </c>
      <c r="J16" s="13">
        <v>3600</v>
      </c>
      <c r="K16" s="13">
        <v>2700</v>
      </c>
      <c r="L16" s="14">
        <f>IF(J16=0,"-",K16/J16)</f>
      </c>
      <c r="M16" s="13">
        <v>720</v>
      </c>
      <c r="N16" s="13">
        <v>580</v>
      </c>
      <c r="O16" s="14">
        <f>IF(M16=0,"-",N16/M16)</f>
      </c>
      <c r="P16" s="15" t="s">
        <v>69</v>
      </c>
    </row>
    <row r="17" ht="22" customHeight="1" spans="1:16" x14ac:dyDescent="0.25">
      <c r="A17" s="6" t="s">
        <v>70</v>
      </c>
      <c r="B17" s="7" t="s">
        <v>71</v>
      </c>
      <c r="C17" s="8">
        <v>200</v>
      </c>
      <c r="D17" s="8">
        <v>210</v>
      </c>
      <c r="E17" s="9">
        <f>IF(C17=0,"-",D17/C17)</f>
      </c>
      <c r="F17" s="8">
        <v>30</v>
      </c>
      <c r="G17" s="8">
        <v>35</v>
      </c>
      <c r="H17" s="9">
        <f>IF(F17=0,"-",G17/F17)</f>
      </c>
      <c r="I17" s="9">
        <f>IF(D17=0,"-",G17/D17)</f>
      </c>
      <c r="J17" s="8">
        <v>2400</v>
      </c>
      <c r="K17" s="8">
        <v>1800</v>
      </c>
      <c r="L17" s="9">
        <f>IF(J17=0,"-",K17/J17)</f>
      </c>
      <c r="M17" s="8">
        <v>360</v>
      </c>
      <c r="N17" s="8">
        <v>290</v>
      </c>
      <c r="O17" s="9">
        <f>IF(M17=0,"-",N17/M17)</f>
      </c>
      <c r="P17" s="10" t="s">
        <v>72</v>
      </c>
    </row>
    <row r="18" ht="22" customHeight="1" spans="1:16" x14ac:dyDescent="0.25">
      <c r="A18" s="11" t="s">
        <v>37</v>
      </c>
      <c r="B18" s="12" t="s">
        <v>73</v>
      </c>
      <c r="C18" s="13">
        <v>200</v>
      </c>
      <c r="D18" s="13">
        <v>210</v>
      </c>
      <c r="E18" s="14">
        <f>IF(C18=0,"-",D18/C18)</f>
      </c>
      <c r="F18" s="13">
        <v>30</v>
      </c>
      <c r="G18" s="13">
        <v>35</v>
      </c>
      <c r="H18" s="14">
        <f>IF(F18=0,"-",G18/F18)</f>
      </c>
      <c r="I18" s="14">
        <f>IF(D18=0,"-",G18/D18)</f>
      </c>
      <c r="J18" s="13">
        <v>2400</v>
      </c>
      <c r="K18" s="13">
        <v>1800</v>
      </c>
      <c r="L18" s="14">
        <f>IF(J18=0,"-",K18/J18)</f>
      </c>
      <c r="M18" s="13">
        <v>360</v>
      </c>
      <c r="N18" s="13">
        <v>290</v>
      </c>
      <c r="O18" s="14">
        <f>IF(M18=0,"-",N18/M18)</f>
      </c>
      <c r="P18" s="15" t="s">
        <v>74</v>
      </c>
    </row>
    <row r="19" ht="26" customHeight="1" spans="1:16" x14ac:dyDescent="0.25">
      <c r="A19" s="16" t="s">
        <v>37</v>
      </c>
      <c r="B19" s="17" t="s">
        <v>75</v>
      </c>
      <c r="C19" s="18">
        <f>SUMIF(A3:A18,"&lt;&gt;",C3:C18)</f>
      </c>
      <c r="D19" s="18">
        <f>SUMIF(A3:A18,"&lt;&gt;",D3:D18)</f>
      </c>
      <c r="E19" s="19">
        <f>IF(C19=0,"-",D19/C19)</f>
      </c>
      <c r="F19" s="18">
        <f>SUMIF(A3:A18,"&lt;&gt;",F3:F18)</f>
      </c>
      <c r="G19" s="18">
        <f>SUMIF(A3:A18,"&lt;&gt;",G3:G18)</f>
      </c>
      <c r="H19" s="19">
        <f>IF(F19=0,"-",G19/F19)</f>
      </c>
      <c r="I19" s="19">
        <f>IF(D19=0,"-",G19/D19)</f>
      </c>
      <c r="J19" s="18">
        <f>SUMIF(A3:A18,"&lt;&gt;",J3:J18)</f>
      </c>
      <c r="K19" s="18">
        <f>SUMIF(A3:A18,"&lt;&gt;",K3:K18)</f>
      </c>
      <c r="L19" s="19">
        <f>IF(J19=0,"-",K19/J19)</f>
      </c>
      <c r="M19" s="18">
        <f>SUMIF(A3:A18,"&lt;&gt;",M3:M18)</f>
      </c>
      <c r="N19" s="18">
        <f>SUMIF(A3:A18,"&lt;&gt;",N3:N18)</f>
      </c>
      <c r="O19" s="19">
        <f>IF(M19=0,"-",N19/M19)</f>
      </c>
      <c r="P19" s="16" t="s">
        <v>76</v>
      </c>
    </row>
  </sheetData>
  <mergeCells count="1">
    <mergeCell ref="A1:P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22" customWidth="1"/>
    <col min="3" max="6" width="26" customWidth="1"/>
  </cols>
  <sheetData>
    <row r="1" ht="32" customHeight="1" spans="1:6" x14ac:dyDescent="0.25">
      <c r="A1" s="4" t="s">
        <v>77</v>
      </c>
      <c r="B1" s="4"/>
      <c r="C1" s="4"/>
      <c r="D1" s="4"/>
      <c r="E1" s="4"/>
      <c r="F1" s="4"/>
    </row>
    <row r="2" ht="28" customHeight="1" spans="1:6" x14ac:dyDescent="0.25">
      <c r="A2" s="5" t="s">
        <v>78</v>
      </c>
      <c r="B2" s="5" t="s">
        <v>79</v>
      </c>
      <c r="C2" s="5" t="s">
        <v>80</v>
      </c>
      <c r="D2" s="5" t="s">
        <v>81</v>
      </c>
      <c r="E2" s="5" t="s">
        <v>82</v>
      </c>
      <c r="F2" s="5" t="s">
        <v>83</v>
      </c>
    </row>
    <row r="3" ht="22" customHeight="1" spans="1:6" x14ac:dyDescent="0.25">
      <c r="A3" s="11" t="s">
        <v>84</v>
      </c>
      <c r="B3" s="12" t="s">
        <v>85</v>
      </c>
      <c r="C3" s="13">
        <v>12500000000</v>
      </c>
      <c r="D3" s="13">
        <v>1850000000</v>
      </c>
      <c r="E3" s="13">
        <v>150000000</v>
      </c>
      <c r="F3" s="13">
        <f>C3+D3+E3</f>
      </c>
    </row>
    <row r="4" ht="22" customHeight="1" spans="1:6" x14ac:dyDescent="0.25">
      <c r="A4" s="11" t="s">
        <v>84</v>
      </c>
      <c r="B4" s="12" t="s">
        <v>86</v>
      </c>
      <c r="C4" s="13">
        <v>8900000000</v>
      </c>
      <c r="D4" s="13">
        <v>1200000000</v>
      </c>
      <c r="E4" s="13">
        <v>80000000</v>
      </c>
      <c r="F4" s="13">
        <f>C4+D4+E4</f>
      </c>
    </row>
    <row r="5" ht="22" customHeight="1" spans="1:6" x14ac:dyDescent="0.25">
      <c r="A5" s="11" t="s">
        <v>84</v>
      </c>
      <c r="B5" s="12" t="s">
        <v>87</v>
      </c>
      <c r="C5" s="13">
        <v>28500000000</v>
      </c>
      <c r="D5" s="13">
        <v>3950000000</v>
      </c>
      <c r="E5" s="13">
        <v>420000000</v>
      </c>
      <c r="F5" s="13">
        <f>C5+D5+E5</f>
      </c>
    </row>
    <row r="6" ht="22" customHeight="1" spans="1:6" x14ac:dyDescent="0.25">
      <c r="A6" s="11" t="s">
        <v>84</v>
      </c>
      <c r="B6" s="12" t="s">
        <v>88</v>
      </c>
      <c r="C6" s="13">
        <v>4800000000</v>
      </c>
      <c r="D6" s="13">
        <v>620000000</v>
      </c>
      <c r="E6" s="13">
        <v>45000000</v>
      </c>
      <c r="F6" s="13">
        <f>C6+D6+E6</f>
      </c>
    </row>
    <row r="7" ht="22" customHeight="1" spans="1:6" x14ac:dyDescent="0.25">
      <c r="A7" s="11" t="s">
        <v>84</v>
      </c>
      <c r="B7" s="12" t="s">
        <v>89</v>
      </c>
      <c r="C7" s="13">
        <v>1100000000</v>
      </c>
      <c r="D7" s="13">
        <v>150000000</v>
      </c>
      <c r="E7" s="13">
        <v>0</v>
      </c>
      <c r="F7" s="13">
        <f>C7+D7+E7</f>
      </c>
    </row>
    <row r="8" ht="22" customHeight="1" spans="1:6" x14ac:dyDescent="0.25">
      <c r="A8" s="11" t="s">
        <v>84</v>
      </c>
      <c r="B8" s="12" t="s">
        <v>90</v>
      </c>
      <c r="C8" s="13">
        <v>0</v>
      </c>
      <c r="D8" s="13">
        <v>0</v>
      </c>
      <c r="E8" s="13">
        <v>0</v>
      </c>
      <c r="F8" s="13">
        <f>C8+D8+E8</f>
      </c>
    </row>
  </sheetData>
  <mergeCells count="1">
    <mergeCell ref="A1:F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
  <sheetViews>
    <sheetView workbookViewId="0">
      <pane ySplit="3" topLeftCell="A4" activePane="bottomLeft" state="frozen"/>
      <selection pane="bottomLeft"/>
    </sheetView>
  </sheetViews>
  <sheetFormatPr defaultRowHeight="15" outlineLevelRow="0" outlineLevelCol="0" x14ac:dyDescent="55"/>
  <cols>
    <col min="1" max="3" width="18" customWidth="1"/>
    <col min="4" max="13" width="13" customWidth="1"/>
  </cols>
  <sheetData>
    <row r="1" ht="32" customHeight="1" spans="1:13" x14ac:dyDescent="0.25">
      <c r="A1" s="4" t="s">
        <v>91</v>
      </c>
      <c r="B1" s="4"/>
      <c r="C1" s="4"/>
      <c r="D1" s="4"/>
      <c r="E1" s="4"/>
      <c r="F1" s="4"/>
      <c r="G1" s="4"/>
      <c r="H1" s="4"/>
      <c r="I1" s="4"/>
      <c r="J1" s="4"/>
      <c r="K1" s="4"/>
      <c r="L1" s="4"/>
      <c r="M1" s="4"/>
    </row>
    <row r="2" ht="24" customHeight="1" spans="1:13" x14ac:dyDescent="0.25">
      <c r="A2" s="5" t="s">
        <v>78</v>
      </c>
      <c r="B2" s="5" t="s">
        <v>79</v>
      </c>
      <c r="C2" s="5" t="s">
        <v>92</v>
      </c>
      <c r="D2" s="5" t="s">
        <v>93</v>
      </c>
      <c r="E2" s="5"/>
      <c r="F2" s="5" t="s">
        <v>94</v>
      </c>
      <c r="G2" s="5"/>
      <c r="H2" s="5" t="s">
        <v>95</v>
      </c>
      <c r="I2" s="5"/>
      <c r="J2" s="5" t="s">
        <v>96</v>
      </c>
      <c r="K2" s="5"/>
      <c r="L2" s="5" t="s">
        <v>97</v>
      </c>
      <c r="M2" s="5"/>
    </row>
    <row r="3" ht="24" customHeight="1" spans="1:13" x14ac:dyDescent="0.25">
      <c r="A3" s="5"/>
      <c r="B3" s="5"/>
      <c r="C3" s="5"/>
      <c r="D3" s="5" t="s">
        <v>98</v>
      </c>
      <c r="E3" s="5" t="s">
        <v>99</v>
      </c>
      <c r="F3" s="5" t="s">
        <v>98</v>
      </c>
      <c r="G3" s="5" t="s">
        <v>99</v>
      </c>
      <c r="H3" s="5" t="s">
        <v>98</v>
      </c>
      <c r="I3" s="5" t="s">
        <v>99</v>
      </c>
      <c r="J3" s="5" t="s">
        <v>98</v>
      </c>
      <c r="K3" s="5" t="s">
        <v>99</v>
      </c>
      <c r="L3" s="5" t="s">
        <v>98</v>
      </c>
      <c r="M3" s="5" t="s">
        <v>99</v>
      </c>
    </row>
    <row r="4" ht="22" customHeight="1" spans="1:13" x14ac:dyDescent="0.25">
      <c r="A4" s="11" t="s">
        <v>84</v>
      </c>
      <c r="B4" s="12" t="s">
        <v>85</v>
      </c>
      <c r="C4" s="12" t="s">
        <v>100</v>
      </c>
      <c r="D4" s="20">
        <v>120</v>
      </c>
      <c r="E4" s="20">
        <v>95</v>
      </c>
      <c r="F4" s="20">
        <v>15</v>
      </c>
      <c r="G4" s="20">
        <v>12</v>
      </c>
      <c r="H4" s="20">
        <v>10</v>
      </c>
      <c r="I4" s="20">
        <v>8</v>
      </c>
      <c r="J4" s="20">
        <v>2</v>
      </c>
      <c r="K4" s="20">
        <v>1</v>
      </c>
      <c r="L4" s="20">
        <v>128</v>
      </c>
      <c r="M4" s="20">
        <v>102</v>
      </c>
    </row>
    <row r="5" ht="22" customHeight="1" spans="1:13" x14ac:dyDescent="0.25">
      <c r="A5" s="11" t="s">
        <v>84</v>
      </c>
      <c r="B5" s="12" t="s">
        <v>85</v>
      </c>
      <c r="C5" s="12" t="s">
        <v>101</v>
      </c>
      <c r="D5" s="20">
        <v>120</v>
      </c>
      <c r="E5" s="20">
        <v>95</v>
      </c>
      <c r="F5" s="20">
        <v>15</v>
      </c>
      <c r="G5" s="20">
        <v>12</v>
      </c>
      <c r="H5" s="20">
        <v>10</v>
      </c>
      <c r="I5" s="20">
        <v>8</v>
      </c>
      <c r="J5" s="20">
        <v>2</v>
      </c>
      <c r="K5" s="20">
        <v>1</v>
      </c>
      <c r="L5" s="20">
        <v>128</v>
      </c>
      <c r="M5" s="20">
        <v>102</v>
      </c>
    </row>
    <row r="6" ht="22" customHeight="1" spans="1:13" x14ac:dyDescent="0.25">
      <c r="A6" s="11" t="s">
        <v>84</v>
      </c>
      <c r="B6" s="12" t="s">
        <v>85</v>
      </c>
      <c r="C6" s="12" t="s">
        <v>102</v>
      </c>
      <c r="D6" s="20">
        <v>120</v>
      </c>
      <c r="E6" s="20">
        <v>95</v>
      </c>
      <c r="F6" s="20">
        <v>15</v>
      </c>
      <c r="G6" s="20">
        <v>12</v>
      </c>
      <c r="H6" s="20">
        <v>10</v>
      </c>
      <c r="I6" s="20">
        <v>8</v>
      </c>
      <c r="J6" s="20">
        <v>2</v>
      </c>
      <c r="K6" s="20">
        <v>1</v>
      </c>
      <c r="L6" s="20">
        <v>128</v>
      </c>
      <c r="M6" s="20">
        <v>102</v>
      </c>
    </row>
    <row r="7" ht="22" customHeight="1" spans="1:13" x14ac:dyDescent="0.25">
      <c r="A7" s="11" t="s">
        <v>84</v>
      </c>
      <c r="B7" s="12" t="s">
        <v>85</v>
      </c>
      <c r="C7" s="12" t="s">
        <v>103</v>
      </c>
      <c r="D7" s="20">
        <v>120</v>
      </c>
      <c r="E7" s="20">
        <v>95</v>
      </c>
      <c r="F7" s="20">
        <v>15</v>
      </c>
      <c r="G7" s="20">
        <v>12</v>
      </c>
      <c r="H7" s="20">
        <v>10</v>
      </c>
      <c r="I7" s="20">
        <v>8</v>
      </c>
      <c r="J7" s="20">
        <v>2</v>
      </c>
      <c r="K7" s="20">
        <v>1</v>
      </c>
      <c r="L7" s="20">
        <v>128</v>
      </c>
      <c r="M7" s="20">
        <v>102</v>
      </c>
    </row>
    <row r="8" ht="22" customHeight="1" spans="1:13" x14ac:dyDescent="0.25">
      <c r="A8" s="11" t="s">
        <v>84</v>
      </c>
      <c r="B8" s="12" t="s">
        <v>85</v>
      </c>
      <c r="C8" s="12" t="s">
        <v>104</v>
      </c>
      <c r="D8" s="20">
        <v>120</v>
      </c>
      <c r="E8" s="20">
        <v>95</v>
      </c>
      <c r="F8" s="20">
        <v>15</v>
      </c>
      <c r="G8" s="20">
        <v>12</v>
      </c>
      <c r="H8" s="20">
        <v>10</v>
      </c>
      <c r="I8" s="20">
        <v>8</v>
      </c>
      <c r="J8" s="20">
        <v>2</v>
      </c>
      <c r="K8" s="20">
        <v>1</v>
      </c>
      <c r="L8" s="20">
        <v>128</v>
      </c>
      <c r="M8" s="20">
        <v>102</v>
      </c>
    </row>
    <row r="9" ht="22" customHeight="1" spans="1:13" x14ac:dyDescent="0.25">
      <c r="A9" s="11" t="s">
        <v>84</v>
      </c>
      <c r="B9" s="12" t="s">
        <v>85</v>
      </c>
      <c r="C9" s="12" t="s">
        <v>105</v>
      </c>
      <c r="D9" s="11" t="s">
        <v>106</v>
      </c>
      <c r="E9" s="20">
        <v>95</v>
      </c>
      <c r="F9" s="11" t="s">
        <v>106</v>
      </c>
      <c r="G9" s="20">
        <v>12</v>
      </c>
      <c r="H9" s="11" t="s">
        <v>106</v>
      </c>
      <c r="I9" s="20">
        <v>8</v>
      </c>
      <c r="J9" s="11" t="s">
        <v>106</v>
      </c>
      <c r="K9" s="20">
        <v>1</v>
      </c>
      <c r="L9" s="11" t="s">
        <v>106</v>
      </c>
      <c r="M9" s="20">
        <v>102</v>
      </c>
    </row>
    <row r="10" ht="22" customHeight="1" spans="1:13" x14ac:dyDescent="0.25">
      <c r="A10" s="11" t="s">
        <v>84</v>
      </c>
      <c r="B10" s="12" t="s">
        <v>86</v>
      </c>
      <c r="C10" s="12" t="s">
        <v>100</v>
      </c>
      <c r="D10" s="20">
        <v>120</v>
      </c>
      <c r="E10" s="20">
        <v>95</v>
      </c>
      <c r="F10" s="20">
        <v>15</v>
      </c>
      <c r="G10" s="20">
        <v>12</v>
      </c>
      <c r="H10" s="20">
        <v>10</v>
      </c>
      <c r="I10" s="20">
        <v>8</v>
      </c>
      <c r="J10" s="20">
        <v>2</v>
      </c>
      <c r="K10" s="20">
        <v>1</v>
      </c>
      <c r="L10" s="20">
        <v>128</v>
      </c>
      <c r="M10" s="20">
        <v>102</v>
      </c>
    </row>
    <row r="11" ht="22" customHeight="1" spans="1:13" x14ac:dyDescent="0.25">
      <c r="A11" s="11" t="s">
        <v>84</v>
      </c>
      <c r="B11" s="12" t="s">
        <v>86</v>
      </c>
      <c r="C11" s="12" t="s">
        <v>101</v>
      </c>
      <c r="D11" s="20">
        <v>120</v>
      </c>
      <c r="E11" s="20">
        <v>95</v>
      </c>
      <c r="F11" s="20">
        <v>15</v>
      </c>
      <c r="G11" s="20">
        <v>12</v>
      </c>
      <c r="H11" s="20">
        <v>10</v>
      </c>
      <c r="I11" s="20">
        <v>8</v>
      </c>
      <c r="J11" s="20">
        <v>2</v>
      </c>
      <c r="K11" s="20">
        <v>1</v>
      </c>
      <c r="L11" s="20">
        <v>128</v>
      </c>
      <c r="M11" s="20">
        <v>102</v>
      </c>
    </row>
    <row r="12" ht="22" customHeight="1" spans="1:13" x14ac:dyDescent="0.25">
      <c r="A12" s="11" t="s">
        <v>84</v>
      </c>
      <c r="B12" s="12" t="s">
        <v>86</v>
      </c>
      <c r="C12" s="12" t="s">
        <v>102</v>
      </c>
      <c r="D12" s="20">
        <v>120</v>
      </c>
      <c r="E12" s="20">
        <v>95</v>
      </c>
      <c r="F12" s="20">
        <v>15</v>
      </c>
      <c r="G12" s="20">
        <v>12</v>
      </c>
      <c r="H12" s="20">
        <v>10</v>
      </c>
      <c r="I12" s="20">
        <v>8</v>
      </c>
      <c r="J12" s="20">
        <v>2</v>
      </c>
      <c r="K12" s="20">
        <v>1</v>
      </c>
      <c r="L12" s="20">
        <v>128</v>
      </c>
      <c r="M12" s="20">
        <v>102</v>
      </c>
    </row>
    <row r="13" ht="22" customHeight="1" spans="1:13" x14ac:dyDescent="0.25">
      <c r="A13" s="11" t="s">
        <v>84</v>
      </c>
      <c r="B13" s="12" t="s">
        <v>86</v>
      </c>
      <c r="C13" s="12" t="s">
        <v>103</v>
      </c>
      <c r="D13" s="20">
        <v>120</v>
      </c>
      <c r="E13" s="20">
        <v>95</v>
      </c>
      <c r="F13" s="20">
        <v>15</v>
      </c>
      <c r="G13" s="20">
        <v>12</v>
      </c>
      <c r="H13" s="20">
        <v>10</v>
      </c>
      <c r="I13" s="20">
        <v>8</v>
      </c>
      <c r="J13" s="20">
        <v>2</v>
      </c>
      <c r="K13" s="20">
        <v>1</v>
      </c>
      <c r="L13" s="20">
        <v>128</v>
      </c>
      <c r="M13" s="20">
        <v>102</v>
      </c>
    </row>
    <row r="14" ht="22" customHeight="1" spans="1:13" x14ac:dyDescent="0.25">
      <c r="A14" s="11" t="s">
        <v>84</v>
      </c>
      <c r="B14" s="12" t="s">
        <v>86</v>
      </c>
      <c r="C14" s="12" t="s">
        <v>104</v>
      </c>
      <c r="D14" s="20">
        <v>120</v>
      </c>
      <c r="E14" s="20">
        <v>95</v>
      </c>
      <c r="F14" s="20">
        <v>15</v>
      </c>
      <c r="G14" s="20">
        <v>12</v>
      </c>
      <c r="H14" s="20">
        <v>10</v>
      </c>
      <c r="I14" s="20">
        <v>8</v>
      </c>
      <c r="J14" s="20">
        <v>2</v>
      </c>
      <c r="K14" s="20">
        <v>1</v>
      </c>
      <c r="L14" s="20">
        <v>128</v>
      </c>
      <c r="M14" s="20">
        <v>102</v>
      </c>
    </row>
    <row r="15" ht="22" customHeight="1" spans="1:13" x14ac:dyDescent="0.25">
      <c r="A15" s="11" t="s">
        <v>84</v>
      </c>
      <c r="B15" s="12" t="s">
        <v>86</v>
      </c>
      <c r="C15" s="12" t="s">
        <v>105</v>
      </c>
      <c r="D15" s="11" t="s">
        <v>106</v>
      </c>
      <c r="E15" s="20">
        <v>95</v>
      </c>
      <c r="F15" s="11" t="s">
        <v>106</v>
      </c>
      <c r="G15" s="20">
        <v>12</v>
      </c>
      <c r="H15" s="11" t="s">
        <v>106</v>
      </c>
      <c r="I15" s="20">
        <v>8</v>
      </c>
      <c r="J15" s="11" t="s">
        <v>106</v>
      </c>
      <c r="K15" s="20">
        <v>1</v>
      </c>
      <c r="L15" s="11" t="s">
        <v>106</v>
      </c>
      <c r="M15" s="20">
        <v>102</v>
      </c>
    </row>
    <row r="16" ht="22" customHeight="1" spans="1:13" x14ac:dyDescent="0.25">
      <c r="A16" s="11" t="s">
        <v>84</v>
      </c>
      <c r="B16" s="12" t="s">
        <v>87</v>
      </c>
      <c r="C16" s="12" t="s">
        <v>100</v>
      </c>
      <c r="D16" s="20">
        <v>120</v>
      </c>
      <c r="E16" s="20">
        <v>95</v>
      </c>
      <c r="F16" s="20">
        <v>15</v>
      </c>
      <c r="G16" s="20">
        <v>12</v>
      </c>
      <c r="H16" s="20">
        <v>10</v>
      </c>
      <c r="I16" s="20">
        <v>8</v>
      </c>
      <c r="J16" s="20">
        <v>2</v>
      </c>
      <c r="K16" s="20">
        <v>1</v>
      </c>
      <c r="L16" s="20">
        <v>128</v>
      </c>
      <c r="M16" s="20">
        <v>102</v>
      </c>
    </row>
    <row r="17" ht="22" customHeight="1" spans="1:13" x14ac:dyDescent="0.25">
      <c r="A17" s="11" t="s">
        <v>84</v>
      </c>
      <c r="B17" s="12" t="s">
        <v>87</v>
      </c>
      <c r="C17" s="12" t="s">
        <v>101</v>
      </c>
      <c r="D17" s="20">
        <v>120</v>
      </c>
      <c r="E17" s="20">
        <v>95</v>
      </c>
      <c r="F17" s="20">
        <v>15</v>
      </c>
      <c r="G17" s="20">
        <v>12</v>
      </c>
      <c r="H17" s="20">
        <v>10</v>
      </c>
      <c r="I17" s="20">
        <v>8</v>
      </c>
      <c r="J17" s="20">
        <v>2</v>
      </c>
      <c r="K17" s="20">
        <v>1</v>
      </c>
      <c r="L17" s="20">
        <v>128</v>
      </c>
      <c r="M17" s="20">
        <v>102</v>
      </c>
    </row>
    <row r="18" ht="22" customHeight="1" spans="1:13" x14ac:dyDescent="0.25">
      <c r="A18" s="11" t="s">
        <v>84</v>
      </c>
      <c r="B18" s="12" t="s">
        <v>87</v>
      </c>
      <c r="C18" s="12" t="s">
        <v>102</v>
      </c>
      <c r="D18" s="20">
        <v>120</v>
      </c>
      <c r="E18" s="20">
        <v>95</v>
      </c>
      <c r="F18" s="20">
        <v>15</v>
      </c>
      <c r="G18" s="20">
        <v>12</v>
      </c>
      <c r="H18" s="20">
        <v>10</v>
      </c>
      <c r="I18" s="20">
        <v>8</v>
      </c>
      <c r="J18" s="20">
        <v>2</v>
      </c>
      <c r="K18" s="20">
        <v>1</v>
      </c>
      <c r="L18" s="20">
        <v>128</v>
      </c>
      <c r="M18" s="20">
        <v>102</v>
      </c>
    </row>
    <row r="19" ht="22" customHeight="1" spans="1:13" x14ac:dyDescent="0.25">
      <c r="A19" s="11" t="s">
        <v>84</v>
      </c>
      <c r="B19" s="12" t="s">
        <v>87</v>
      </c>
      <c r="C19" s="12" t="s">
        <v>103</v>
      </c>
      <c r="D19" s="20">
        <v>120</v>
      </c>
      <c r="E19" s="20">
        <v>95</v>
      </c>
      <c r="F19" s="20">
        <v>15</v>
      </c>
      <c r="G19" s="20">
        <v>12</v>
      </c>
      <c r="H19" s="20">
        <v>10</v>
      </c>
      <c r="I19" s="20">
        <v>8</v>
      </c>
      <c r="J19" s="20">
        <v>2</v>
      </c>
      <c r="K19" s="20">
        <v>1</v>
      </c>
      <c r="L19" s="20">
        <v>128</v>
      </c>
      <c r="M19" s="20">
        <v>102</v>
      </c>
    </row>
    <row r="20" ht="22" customHeight="1" spans="1:13" x14ac:dyDescent="0.25">
      <c r="A20" s="11" t="s">
        <v>84</v>
      </c>
      <c r="B20" s="12" t="s">
        <v>87</v>
      </c>
      <c r="C20" s="12" t="s">
        <v>104</v>
      </c>
      <c r="D20" s="20">
        <v>120</v>
      </c>
      <c r="E20" s="20">
        <v>95</v>
      </c>
      <c r="F20" s="20">
        <v>15</v>
      </c>
      <c r="G20" s="20">
        <v>12</v>
      </c>
      <c r="H20" s="20">
        <v>10</v>
      </c>
      <c r="I20" s="20">
        <v>8</v>
      </c>
      <c r="J20" s="20">
        <v>2</v>
      </c>
      <c r="K20" s="20">
        <v>1</v>
      </c>
      <c r="L20" s="20">
        <v>128</v>
      </c>
      <c r="M20" s="20">
        <v>102</v>
      </c>
    </row>
    <row r="21" ht="22" customHeight="1" spans="1:13" x14ac:dyDescent="0.25">
      <c r="A21" s="11" t="s">
        <v>84</v>
      </c>
      <c r="B21" s="12" t="s">
        <v>87</v>
      </c>
      <c r="C21" s="12" t="s">
        <v>105</v>
      </c>
      <c r="D21" s="11" t="s">
        <v>106</v>
      </c>
      <c r="E21" s="20">
        <v>95</v>
      </c>
      <c r="F21" s="11" t="s">
        <v>106</v>
      </c>
      <c r="G21" s="20">
        <v>12</v>
      </c>
      <c r="H21" s="11" t="s">
        <v>106</v>
      </c>
      <c r="I21" s="20">
        <v>8</v>
      </c>
      <c r="J21" s="11" t="s">
        <v>106</v>
      </c>
      <c r="K21" s="20">
        <v>1</v>
      </c>
      <c r="L21" s="11" t="s">
        <v>106</v>
      </c>
      <c r="M21" s="20">
        <v>102</v>
      </c>
    </row>
    <row r="22" ht="22" customHeight="1" spans="1:13" x14ac:dyDescent="0.25">
      <c r="A22" s="11" t="s">
        <v>84</v>
      </c>
      <c r="B22" s="12" t="s">
        <v>88</v>
      </c>
      <c r="C22" s="12" t="s">
        <v>100</v>
      </c>
      <c r="D22" s="20">
        <v>120</v>
      </c>
      <c r="E22" s="20">
        <v>95</v>
      </c>
      <c r="F22" s="20">
        <v>15</v>
      </c>
      <c r="G22" s="20">
        <v>12</v>
      </c>
      <c r="H22" s="20">
        <v>10</v>
      </c>
      <c r="I22" s="20">
        <v>8</v>
      </c>
      <c r="J22" s="20">
        <v>2</v>
      </c>
      <c r="K22" s="20">
        <v>1</v>
      </c>
      <c r="L22" s="20">
        <v>128</v>
      </c>
      <c r="M22" s="20">
        <v>102</v>
      </c>
    </row>
    <row r="23" ht="22" customHeight="1" spans="1:13" x14ac:dyDescent="0.25">
      <c r="A23" s="11" t="s">
        <v>84</v>
      </c>
      <c r="B23" s="12" t="s">
        <v>88</v>
      </c>
      <c r="C23" s="12" t="s">
        <v>101</v>
      </c>
      <c r="D23" s="20">
        <v>120</v>
      </c>
      <c r="E23" s="20">
        <v>95</v>
      </c>
      <c r="F23" s="20">
        <v>15</v>
      </c>
      <c r="G23" s="20">
        <v>12</v>
      </c>
      <c r="H23" s="20">
        <v>10</v>
      </c>
      <c r="I23" s="20">
        <v>8</v>
      </c>
      <c r="J23" s="20">
        <v>2</v>
      </c>
      <c r="K23" s="20">
        <v>1</v>
      </c>
      <c r="L23" s="20">
        <v>128</v>
      </c>
      <c r="M23" s="20">
        <v>102</v>
      </c>
    </row>
    <row r="24" ht="22" customHeight="1" spans="1:13" x14ac:dyDescent="0.25">
      <c r="A24" s="11" t="s">
        <v>84</v>
      </c>
      <c r="B24" s="12" t="s">
        <v>88</v>
      </c>
      <c r="C24" s="12" t="s">
        <v>102</v>
      </c>
      <c r="D24" s="20">
        <v>120</v>
      </c>
      <c r="E24" s="20">
        <v>95</v>
      </c>
      <c r="F24" s="20">
        <v>15</v>
      </c>
      <c r="G24" s="20">
        <v>12</v>
      </c>
      <c r="H24" s="20">
        <v>10</v>
      </c>
      <c r="I24" s="20">
        <v>8</v>
      </c>
      <c r="J24" s="20">
        <v>2</v>
      </c>
      <c r="K24" s="20">
        <v>1</v>
      </c>
      <c r="L24" s="20">
        <v>128</v>
      </c>
      <c r="M24" s="20">
        <v>102</v>
      </c>
    </row>
    <row r="25" ht="22" customHeight="1" spans="1:13" x14ac:dyDescent="0.25">
      <c r="A25" s="11" t="s">
        <v>84</v>
      </c>
      <c r="B25" s="12" t="s">
        <v>88</v>
      </c>
      <c r="C25" s="12" t="s">
        <v>103</v>
      </c>
      <c r="D25" s="20">
        <v>120</v>
      </c>
      <c r="E25" s="20">
        <v>95</v>
      </c>
      <c r="F25" s="20">
        <v>15</v>
      </c>
      <c r="G25" s="20">
        <v>12</v>
      </c>
      <c r="H25" s="20">
        <v>10</v>
      </c>
      <c r="I25" s="20">
        <v>8</v>
      </c>
      <c r="J25" s="20">
        <v>2</v>
      </c>
      <c r="K25" s="20">
        <v>1</v>
      </c>
      <c r="L25" s="20">
        <v>128</v>
      </c>
      <c r="M25" s="20">
        <v>102</v>
      </c>
    </row>
    <row r="26" ht="22" customHeight="1" spans="1:13" x14ac:dyDescent="0.25">
      <c r="A26" s="11" t="s">
        <v>84</v>
      </c>
      <c r="B26" s="12" t="s">
        <v>88</v>
      </c>
      <c r="C26" s="12" t="s">
        <v>104</v>
      </c>
      <c r="D26" s="20">
        <v>120</v>
      </c>
      <c r="E26" s="20">
        <v>95</v>
      </c>
      <c r="F26" s="20">
        <v>15</v>
      </c>
      <c r="G26" s="20">
        <v>12</v>
      </c>
      <c r="H26" s="20">
        <v>10</v>
      </c>
      <c r="I26" s="20">
        <v>8</v>
      </c>
      <c r="J26" s="20">
        <v>2</v>
      </c>
      <c r="K26" s="20">
        <v>1</v>
      </c>
      <c r="L26" s="20">
        <v>128</v>
      </c>
      <c r="M26" s="20">
        <v>102</v>
      </c>
    </row>
    <row r="27" ht="22" customHeight="1" spans="1:13" x14ac:dyDescent="0.25">
      <c r="A27" s="11" t="s">
        <v>84</v>
      </c>
      <c r="B27" s="12" t="s">
        <v>88</v>
      </c>
      <c r="C27" s="12" t="s">
        <v>105</v>
      </c>
      <c r="D27" s="11" t="s">
        <v>106</v>
      </c>
      <c r="E27" s="20">
        <v>95</v>
      </c>
      <c r="F27" s="11" t="s">
        <v>106</v>
      </c>
      <c r="G27" s="20">
        <v>12</v>
      </c>
      <c r="H27" s="11" t="s">
        <v>106</v>
      </c>
      <c r="I27" s="20">
        <v>8</v>
      </c>
      <c r="J27" s="11" t="s">
        <v>106</v>
      </c>
      <c r="K27" s="20">
        <v>1</v>
      </c>
      <c r="L27" s="11" t="s">
        <v>106</v>
      </c>
      <c r="M27" s="20">
        <v>102</v>
      </c>
    </row>
    <row r="28" ht="22" customHeight="1" spans="1:13" x14ac:dyDescent="0.25">
      <c r="A28" s="11" t="s">
        <v>84</v>
      </c>
      <c r="B28" s="12" t="s">
        <v>89</v>
      </c>
      <c r="C28" s="12" t="s">
        <v>100</v>
      </c>
      <c r="D28" s="20">
        <v>120</v>
      </c>
      <c r="E28" s="20">
        <v>95</v>
      </c>
      <c r="F28" s="20">
        <v>15</v>
      </c>
      <c r="G28" s="20">
        <v>12</v>
      </c>
      <c r="H28" s="20">
        <v>10</v>
      </c>
      <c r="I28" s="20">
        <v>8</v>
      </c>
      <c r="J28" s="20">
        <v>2</v>
      </c>
      <c r="K28" s="20">
        <v>1</v>
      </c>
      <c r="L28" s="20">
        <v>128</v>
      </c>
      <c r="M28" s="20">
        <v>102</v>
      </c>
    </row>
    <row r="29" ht="22" customHeight="1" spans="1:13" x14ac:dyDescent="0.25">
      <c r="A29" s="11" t="s">
        <v>84</v>
      </c>
      <c r="B29" s="12" t="s">
        <v>89</v>
      </c>
      <c r="C29" s="12" t="s">
        <v>101</v>
      </c>
      <c r="D29" s="20">
        <v>120</v>
      </c>
      <c r="E29" s="20">
        <v>95</v>
      </c>
      <c r="F29" s="20">
        <v>15</v>
      </c>
      <c r="G29" s="20">
        <v>12</v>
      </c>
      <c r="H29" s="20">
        <v>10</v>
      </c>
      <c r="I29" s="20">
        <v>8</v>
      </c>
      <c r="J29" s="20">
        <v>2</v>
      </c>
      <c r="K29" s="20">
        <v>1</v>
      </c>
      <c r="L29" s="20">
        <v>128</v>
      </c>
      <c r="M29" s="20">
        <v>102</v>
      </c>
    </row>
    <row r="30" ht="22" customHeight="1" spans="1:13" x14ac:dyDescent="0.25">
      <c r="A30" s="11" t="s">
        <v>84</v>
      </c>
      <c r="B30" s="12" t="s">
        <v>89</v>
      </c>
      <c r="C30" s="12" t="s">
        <v>102</v>
      </c>
      <c r="D30" s="20">
        <v>120</v>
      </c>
      <c r="E30" s="20">
        <v>95</v>
      </c>
      <c r="F30" s="20">
        <v>15</v>
      </c>
      <c r="G30" s="20">
        <v>12</v>
      </c>
      <c r="H30" s="20">
        <v>10</v>
      </c>
      <c r="I30" s="20">
        <v>8</v>
      </c>
      <c r="J30" s="20">
        <v>2</v>
      </c>
      <c r="K30" s="20">
        <v>1</v>
      </c>
      <c r="L30" s="20">
        <v>128</v>
      </c>
      <c r="M30" s="20">
        <v>102</v>
      </c>
    </row>
    <row r="31" ht="22" customHeight="1" spans="1:13" x14ac:dyDescent="0.25">
      <c r="A31" s="11" t="s">
        <v>84</v>
      </c>
      <c r="B31" s="12" t="s">
        <v>89</v>
      </c>
      <c r="C31" s="12" t="s">
        <v>103</v>
      </c>
      <c r="D31" s="20">
        <v>120</v>
      </c>
      <c r="E31" s="20">
        <v>95</v>
      </c>
      <c r="F31" s="20">
        <v>15</v>
      </c>
      <c r="G31" s="20">
        <v>12</v>
      </c>
      <c r="H31" s="20">
        <v>10</v>
      </c>
      <c r="I31" s="20">
        <v>8</v>
      </c>
      <c r="J31" s="20">
        <v>2</v>
      </c>
      <c r="K31" s="20">
        <v>1</v>
      </c>
      <c r="L31" s="20">
        <v>128</v>
      </c>
      <c r="M31" s="20">
        <v>102</v>
      </c>
    </row>
    <row r="32" ht="22" customHeight="1" spans="1:13" x14ac:dyDescent="0.25">
      <c r="A32" s="11" t="s">
        <v>84</v>
      </c>
      <c r="B32" s="12" t="s">
        <v>89</v>
      </c>
      <c r="C32" s="12" t="s">
        <v>104</v>
      </c>
      <c r="D32" s="20">
        <v>120</v>
      </c>
      <c r="E32" s="20">
        <v>95</v>
      </c>
      <c r="F32" s="20">
        <v>15</v>
      </c>
      <c r="G32" s="20">
        <v>12</v>
      </c>
      <c r="H32" s="20">
        <v>10</v>
      </c>
      <c r="I32" s="20">
        <v>8</v>
      </c>
      <c r="J32" s="20">
        <v>2</v>
      </c>
      <c r="K32" s="20">
        <v>1</v>
      </c>
      <c r="L32" s="20">
        <v>128</v>
      </c>
      <c r="M32" s="20">
        <v>102</v>
      </c>
    </row>
    <row r="33" ht="22" customHeight="1" spans="1:13" x14ac:dyDescent="0.25">
      <c r="A33" s="11" t="s">
        <v>84</v>
      </c>
      <c r="B33" s="12" t="s">
        <v>89</v>
      </c>
      <c r="C33" s="12" t="s">
        <v>105</v>
      </c>
      <c r="D33" s="11" t="s">
        <v>106</v>
      </c>
      <c r="E33" s="20">
        <v>95</v>
      </c>
      <c r="F33" s="11" t="s">
        <v>106</v>
      </c>
      <c r="G33" s="20">
        <v>12</v>
      </c>
      <c r="H33" s="11" t="s">
        <v>106</v>
      </c>
      <c r="I33" s="20">
        <v>8</v>
      </c>
      <c r="J33" s="11" t="s">
        <v>106</v>
      </c>
      <c r="K33" s="20">
        <v>1</v>
      </c>
      <c r="L33" s="11" t="s">
        <v>106</v>
      </c>
      <c r="M33" s="20">
        <v>102</v>
      </c>
    </row>
    <row r="34" ht="22" customHeight="1" spans="1:13" x14ac:dyDescent="0.25">
      <c r="A34" s="11" t="s">
        <v>84</v>
      </c>
      <c r="B34" s="12" t="s">
        <v>90</v>
      </c>
      <c r="C34" s="12" t="s">
        <v>100</v>
      </c>
      <c r="D34" s="20">
        <v>120</v>
      </c>
      <c r="E34" s="20">
        <v>95</v>
      </c>
      <c r="F34" s="20">
        <v>15</v>
      </c>
      <c r="G34" s="20">
        <v>12</v>
      </c>
      <c r="H34" s="20">
        <v>10</v>
      </c>
      <c r="I34" s="20">
        <v>8</v>
      </c>
      <c r="J34" s="20">
        <v>2</v>
      </c>
      <c r="K34" s="20">
        <v>1</v>
      </c>
      <c r="L34" s="20">
        <v>128</v>
      </c>
      <c r="M34" s="20">
        <v>102</v>
      </c>
    </row>
    <row r="35" ht="22" customHeight="1" spans="1:13" x14ac:dyDescent="0.25">
      <c r="A35" s="11" t="s">
        <v>84</v>
      </c>
      <c r="B35" s="12" t="s">
        <v>90</v>
      </c>
      <c r="C35" s="12" t="s">
        <v>101</v>
      </c>
      <c r="D35" s="20">
        <v>120</v>
      </c>
      <c r="E35" s="20">
        <v>95</v>
      </c>
      <c r="F35" s="20">
        <v>15</v>
      </c>
      <c r="G35" s="20">
        <v>12</v>
      </c>
      <c r="H35" s="20">
        <v>10</v>
      </c>
      <c r="I35" s="20">
        <v>8</v>
      </c>
      <c r="J35" s="20">
        <v>2</v>
      </c>
      <c r="K35" s="20">
        <v>1</v>
      </c>
      <c r="L35" s="20">
        <v>128</v>
      </c>
      <c r="M35" s="20">
        <v>102</v>
      </c>
    </row>
    <row r="36" ht="22" customHeight="1" spans="1:13" x14ac:dyDescent="0.25">
      <c r="A36" s="11" t="s">
        <v>84</v>
      </c>
      <c r="B36" s="12" t="s">
        <v>90</v>
      </c>
      <c r="C36" s="12" t="s">
        <v>102</v>
      </c>
      <c r="D36" s="20">
        <v>120</v>
      </c>
      <c r="E36" s="20">
        <v>95</v>
      </c>
      <c r="F36" s="20">
        <v>15</v>
      </c>
      <c r="G36" s="20">
        <v>12</v>
      </c>
      <c r="H36" s="20">
        <v>10</v>
      </c>
      <c r="I36" s="20">
        <v>8</v>
      </c>
      <c r="J36" s="20">
        <v>2</v>
      </c>
      <c r="K36" s="20">
        <v>1</v>
      </c>
      <c r="L36" s="20">
        <v>128</v>
      </c>
      <c r="M36" s="20">
        <v>102</v>
      </c>
    </row>
    <row r="37" ht="22" customHeight="1" spans="1:13" x14ac:dyDescent="0.25">
      <c r="A37" s="11" t="s">
        <v>84</v>
      </c>
      <c r="B37" s="12" t="s">
        <v>90</v>
      </c>
      <c r="C37" s="12" t="s">
        <v>103</v>
      </c>
      <c r="D37" s="20">
        <v>120</v>
      </c>
      <c r="E37" s="20">
        <v>95</v>
      </c>
      <c r="F37" s="20">
        <v>15</v>
      </c>
      <c r="G37" s="20">
        <v>12</v>
      </c>
      <c r="H37" s="20">
        <v>10</v>
      </c>
      <c r="I37" s="20">
        <v>8</v>
      </c>
      <c r="J37" s="20">
        <v>2</v>
      </c>
      <c r="K37" s="20">
        <v>1</v>
      </c>
      <c r="L37" s="20">
        <v>128</v>
      </c>
      <c r="M37" s="20">
        <v>102</v>
      </c>
    </row>
    <row r="38" ht="22" customHeight="1" spans="1:13" x14ac:dyDescent="0.25">
      <c r="A38" s="11" t="s">
        <v>84</v>
      </c>
      <c r="B38" s="12" t="s">
        <v>90</v>
      </c>
      <c r="C38" s="12" t="s">
        <v>104</v>
      </c>
      <c r="D38" s="20">
        <v>120</v>
      </c>
      <c r="E38" s="20">
        <v>95</v>
      </c>
      <c r="F38" s="20">
        <v>15</v>
      </c>
      <c r="G38" s="20">
        <v>12</v>
      </c>
      <c r="H38" s="20">
        <v>10</v>
      </c>
      <c r="I38" s="20">
        <v>8</v>
      </c>
      <c r="J38" s="20">
        <v>2</v>
      </c>
      <c r="K38" s="20">
        <v>1</v>
      </c>
      <c r="L38" s="20">
        <v>128</v>
      </c>
      <c r="M38" s="20">
        <v>102</v>
      </c>
    </row>
    <row r="39" ht="22" customHeight="1" spans="1:13" x14ac:dyDescent="0.25">
      <c r="A39" s="11" t="s">
        <v>84</v>
      </c>
      <c r="B39" s="12" t="s">
        <v>90</v>
      </c>
      <c r="C39" s="12" t="s">
        <v>105</v>
      </c>
      <c r="D39" s="11" t="s">
        <v>106</v>
      </c>
      <c r="E39" s="20">
        <v>95</v>
      </c>
      <c r="F39" s="11" t="s">
        <v>106</v>
      </c>
      <c r="G39" s="20">
        <v>12</v>
      </c>
      <c r="H39" s="11" t="s">
        <v>106</v>
      </c>
      <c r="I39" s="20">
        <v>8</v>
      </c>
      <c r="J39" s="11" t="s">
        <v>106</v>
      </c>
      <c r="K39" s="20">
        <v>1</v>
      </c>
      <c r="L39" s="11" t="s">
        <v>106</v>
      </c>
      <c r="M39" s="20">
        <v>102</v>
      </c>
    </row>
  </sheetData>
  <mergeCells count="9">
    <mergeCell ref="A1:M1"/>
    <mergeCell ref="D2:E2"/>
    <mergeCell ref="F2:G2"/>
    <mergeCell ref="H2:I2"/>
    <mergeCell ref="J2:K2"/>
    <mergeCell ref="L2:M2"/>
    <mergeCell ref="A2:A3"/>
    <mergeCell ref="B2:B3"/>
    <mergeCell ref="C2:C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20" customWidth="1"/>
    <col min="3" max="3" width="22" customWidth="1"/>
    <col min="4" max="4" width="36" customWidth="1"/>
    <col min="5" max="5" width="14" customWidth="1"/>
    <col min="6" max="6" width="16" customWidth="1"/>
    <col min="7" max="7" width="24" customWidth="1"/>
  </cols>
  <sheetData>
    <row r="1" ht="32" customHeight="1" spans="1:7" x14ac:dyDescent="0.25">
      <c r="A1" s="4" t="s">
        <v>107</v>
      </c>
      <c r="B1" s="4"/>
      <c r="C1" s="4"/>
      <c r="D1" s="4"/>
      <c r="E1" s="4"/>
      <c r="F1" s="4"/>
      <c r="G1" s="4"/>
    </row>
    <row r="2" ht="28" customHeight="1" spans="1:7" x14ac:dyDescent="0.25">
      <c r="A2" s="5" t="s">
        <v>78</v>
      </c>
      <c r="B2" s="5" t="s">
        <v>79</v>
      </c>
      <c r="C2" s="5" t="s">
        <v>108</v>
      </c>
      <c r="D2" s="5" t="s">
        <v>109</v>
      </c>
      <c r="E2" s="5" t="s">
        <v>110</v>
      </c>
      <c r="F2" s="5" t="s">
        <v>111</v>
      </c>
      <c r="G2" s="5" t="s">
        <v>112</v>
      </c>
    </row>
    <row r="3" ht="22" customHeight="1" spans="1:7" x14ac:dyDescent="0.25">
      <c r="A3" s="11" t="s">
        <v>84</v>
      </c>
      <c r="B3" s="12" t="s">
        <v>85</v>
      </c>
      <c r="C3" s="15" t="s">
        <v>113</v>
      </c>
      <c r="D3" s="15" t="s">
        <v>114</v>
      </c>
      <c r="E3" s="11" t="s">
        <v>115</v>
      </c>
      <c r="F3" s="21">
        <v>12</v>
      </c>
      <c r="G3" s="21">
        <v>1250000000</v>
      </c>
    </row>
    <row r="4" ht="22" customHeight="1" spans="1:7" x14ac:dyDescent="0.25">
      <c r="A4" s="11" t="s">
        <v>84</v>
      </c>
      <c r="B4" s="12" t="s">
        <v>85</v>
      </c>
      <c r="C4" s="15" t="s">
        <v>116</v>
      </c>
      <c r="D4" s="15" t="s">
        <v>117</v>
      </c>
      <c r="E4" s="11" t="s">
        <v>118</v>
      </c>
      <c r="F4" s="21">
        <v>150</v>
      </c>
      <c r="G4" s="21">
        <v>480000000</v>
      </c>
    </row>
    <row r="5" ht="22" customHeight="1" spans="1:7" x14ac:dyDescent="0.25">
      <c r="A5" s="11" t="s">
        <v>84</v>
      </c>
      <c r="B5" s="12" t="s">
        <v>86</v>
      </c>
      <c r="C5" s="15" t="s">
        <v>119</v>
      </c>
      <c r="D5" s="15" t="s">
        <v>120</v>
      </c>
      <c r="E5" s="11" t="s">
        <v>115</v>
      </c>
      <c r="F5" s="21">
        <v>8</v>
      </c>
      <c r="G5" s="21">
        <v>920000000</v>
      </c>
    </row>
    <row r="6" ht="22" customHeight="1" spans="1:7" x14ac:dyDescent="0.25">
      <c r="A6" s="11" t="s">
        <v>84</v>
      </c>
      <c r="B6" s="12" t="s">
        <v>87</v>
      </c>
      <c r="C6" s="15" t="s">
        <v>121</v>
      </c>
      <c r="D6" s="15" t="s">
        <v>122</v>
      </c>
      <c r="E6" s="11" t="s">
        <v>123</v>
      </c>
      <c r="F6" s="21">
        <v>85</v>
      </c>
      <c r="G6" s="21">
        <v>360000000</v>
      </c>
    </row>
    <row r="7" ht="22" customHeight="1" spans="1:7" x14ac:dyDescent="0.25">
      <c r="A7" s="11" t="s">
        <v>84</v>
      </c>
      <c r="B7" s="12" t="s">
        <v>88</v>
      </c>
      <c r="C7" s="15" t="s">
        <v>113</v>
      </c>
      <c r="D7" s="15" t="s">
        <v>124</v>
      </c>
      <c r="E7" s="11" t="s">
        <v>115</v>
      </c>
      <c r="F7" s="21">
        <v>6</v>
      </c>
      <c r="G7" s="21">
        <v>420000000</v>
      </c>
    </row>
    <row r="8" ht="22" customHeight="1" spans="1:7" x14ac:dyDescent="0.25">
      <c r="A8" s="11" t="s">
        <v>84</v>
      </c>
      <c r="B8" s="12" t="s">
        <v>89</v>
      </c>
      <c r="C8" s="15" t="s">
        <v>125</v>
      </c>
      <c r="D8" s="15" t="s">
        <v>126</v>
      </c>
      <c r="E8" s="11" t="s">
        <v>127</v>
      </c>
      <c r="F8" s="21">
        <v>4</v>
      </c>
      <c r="G8" s="21">
        <v>185000000</v>
      </c>
    </row>
  </sheetData>
  <mergeCells count="1">
    <mergeCell ref="A1:G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20" customWidth="1"/>
    <col min="3" max="3" width="26" customWidth="1"/>
    <col min="4" max="4" width="18" customWidth="1"/>
    <col min="5" max="7" width="16" customWidth="1"/>
    <col min="8" max="8" width="20" customWidth="1"/>
  </cols>
  <sheetData>
    <row r="1" ht="32" customHeight="1" spans="1:8" x14ac:dyDescent="0.25">
      <c r="A1" s="4" t="s">
        <v>128</v>
      </c>
      <c r="B1" s="4"/>
      <c r="C1" s="4"/>
      <c r="D1" s="4"/>
      <c r="E1" s="4"/>
      <c r="F1" s="4"/>
      <c r="G1" s="4"/>
      <c r="H1" s="4"/>
    </row>
    <row r="2" ht="28" customHeight="1" spans="1:8" x14ac:dyDescent="0.25">
      <c r="A2" s="5" t="s">
        <v>78</v>
      </c>
      <c r="B2" s="5" t="s">
        <v>79</v>
      </c>
      <c r="C2" s="5" t="s">
        <v>129</v>
      </c>
      <c r="D2" s="5" t="s">
        <v>130</v>
      </c>
      <c r="E2" s="5" t="s">
        <v>131</v>
      </c>
      <c r="F2" s="5" t="s">
        <v>132</v>
      </c>
      <c r="G2" s="5" t="s">
        <v>133</v>
      </c>
      <c r="H2" s="5" t="s">
        <v>134</v>
      </c>
    </row>
    <row r="3" ht="22" customHeight="1" spans="1:8" x14ac:dyDescent="0.25">
      <c r="A3" s="11" t="s">
        <v>84</v>
      </c>
      <c r="B3" s="12" t="s">
        <v>85</v>
      </c>
      <c r="C3" s="12" t="s">
        <v>135</v>
      </c>
      <c r="D3" s="20">
        <v>12</v>
      </c>
      <c r="E3" s="20">
        <v>1</v>
      </c>
      <c r="F3" s="20">
        <v>0</v>
      </c>
      <c r="G3" s="20">
        <v>1</v>
      </c>
      <c r="H3" s="20">
        <v>13</v>
      </c>
    </row>
    <row r="4" ht="22" customHeight="1" spans="1:8" x14ac:dyDescent="0.25">
      <c r="A4" s="11" t="s">
        <v>84</v>
      </c>
      <c r="B4" s="12" t="s">
        <v>85</v>
      </c>
      <c r="C4" s="12" t="s">
        <v>136</v>
      </c>
      <c r="D4" s="20">
        <v>12</v>
      </c>
      <c r="E4" s="20">
        <v>1</v>
      </c>
      <c r="F4" s="20">
        <v>0</v>
      </c>
      <c r="G4" s="20">
        <v>1</v>
      </c>
      <c r="H4" s="20">
        <v>13</v>
      </c>
    </row>
    <row r="5" ht="22" customHeight="1" spans="1:8" x14ac:dyDescent="0.25">
      <c r="A5" s="11" t="s">
        <v>84</v>
      </c>
      <c r="B5" s="12" t="s">
        <v>85</v>
      </c>
      <c r="C5" s="12" t="s">
        <v>137</v>
      </c>
      <c r="D5" s="20">
        <v>12</v>
      </c>
      <c r="E5" s="20">
        <v>1</v>
      </c>
      <c r="F5" s="20">
        <v>0</v>
      </c>
      <c r="G5" s="20">
        <v>1</v>
      </c>
      <c r="H5" s="20">
        <v>13</v>
      </c>
    </row>
    <row r="6" ht="22" customHeight="1" spans="1:8" x14ac:dyDescent="0.25">
      <c r="A6" s="11" t="s">
        <v>84</v>
      </c>
      <c r="B6" s="12" t="s">
        <v>85</v>
      </c>
      <c r="C6" s="12" t="s">
        <v>138</v>
      </c>
      <c r="D6" s="20">
        <v>12</v>
      </c>
      <c r="E6" s="20">
        <v>1</v>
      </c>
      <c r="F6" s="20">
        <v>0</v>
      </c>
      <c r="G6" s="20">
        <v>1</v>
      </c>
      <c r="H6" s="20">
        <v>13</v>
      </c>
    </row>
    <row r="7" ht="22" customHeight="1" spans="1:8" x14ac:dyDescent="0.25">
      <c r="A7" s="11" t="s">
        <v>84</v>
      </c>
      <c r="B7" s="12" t="s">
        <v>85</v>
      </c>
      <c r="C7" s="12" t="s">
        <v>139</v>
      </c>
      <c r="D7" s="20">
        <v>12</v>
      </c>
      <c r="E7" s="20">
        <v>1</v>
      </c>
      <c r="F7" s="20">
        <v>0</v>
      </c>
      <c r="G7" s="20">
        <v>1</v>
      </c>
      <c r="H7" s="20">
        <v>13</v>
      </c>
    </row>
    <row r="8" ht="22" customHeight="1" spans="1:8" x14ac:dyDescent="0.25">
      <c r="A8" s="11" t="s">
        <v>84</v>
      </c>
      <c r="B8" s="12" t="s">
        <v>86</v>
      </c>
      <c r="C8" s="12" t="s">
        <v>135</v>
      </c>
      <c r="D8" s="20">
        <v>12</v>
      </c>
      <c r="E8" s="20">
        <v>1</v>
      </c>
      <c r="F8" s="20">
        <v>0</v>
      </c>
      <c r="G8" s="20">
        <v>1</v>
      </c>
      <c r="H8" s="20">
        <v>13</v>
      </c>
    </row>
    <row r="9" ht="22" customHeight="1" spans="1:8" x14ac:dyDescent="0.25">
      <c r="A9" s="11" t="s">
        <v>84</v>
      </c>
      <c r="B9" s="12" t="s">
        <v>86</v>
      </c>
      <c r="C9" s="12" t="s">
        <v>136</v>
      </c>
      <c r="D9" s="20">
        <v>12</v>
      </c>
      <c r="E9" s="20">
        <v>1</v>
      </c>
      <c r="F9" s="20">
        <v>0</v>
      </c>
      <c r="G9" s="20">
        <v>1</v>
      </c>
      <c r="H9" s="20">
        <v>13</v>
      </c>
    </row>
    <row r="10" ht="22" customHeight="1" spans="1:8" x14ac:dyDescent="0.25">
      <c r="A10" s="11" t="s">
        <v>84</v>
      </c>
      <c r="B10" s="12" t="s">
        <v>86</v>
      </c>
      <c r="C10" s="12" t="s">
        <v>137</v>
      </c>
      <c r="D10" s="20">
        <v>12</v>
      </c>
      <c r="E10" s="20">
        <v>1</v>
      </c>
      <c r="F10" s="20">
        <v>0</v>
      </c>
      <c r="G10" s="20">
        <v>1</v>
      </c>
      <c r="H10" s="20">
        <v>13</v>
      </c>
    </row>
    <row r="11" ht="22" customHeight="1" spans="1:8" x14ac:dyDescent="0.25">
      <c r="A11" s="11" t="s">
        <v>84</v>
      </c>
      <c r="B11" s="12" t="s">
        <v>86</v>
      </c>
      <c r="C11" s="12" t="s">
        <v>138</v>
      </c>
      <c r="D11" s="20">
        <v>12</v>
      </c>
      <c r="E11" s="20">
        <v>1</v>
      </c>
      <c r="F11" s="20">
        <v>0</v>
      </c>
      <c r="G11" s="20">
        <v>1</v>
      </c>
      <c r="H11" s="20">
        <v>13</v>
      </c>
    </row>
    <row r="12" ht="22" customHeight="1" spans="1:8" x14ac:dyDescent="0.25">
      <c r="A12" s="11" t="s">
        <v>84</v>
      </c>
      <c r="B12" s="12" t="s">
        <v>86</v>
      </c>
      <c r="C12" s="12" t="s">
        <v>139</v>
      </c>
      <c r="D12" s="20">
        <v>12</v>
      </c>
      <c r="E12" s="20">
        <v>1</v>
      </c>
      <c r="F12" s="20">
        <v>0</v>
      </c>
      <c r="G12" s="20">
        <v>1</v>
      </c>
      <c r="H12" s="20">
        <v>13</v>
      </c>
    </row>
    <row r="13" ht="22" customHeight="1" spans="1:8" x14ac:dyDescent="0.25">
      <c r="A13" s="11" t="s">
        <v>84</v>
      </c>
      <c r="B13" s="12" t="s">
        <v>87</v>
      </c>
      <c r="C13" s="12" t="s">
        <v>135</v>
      </c>
      <c r="D13" s="20">
        <v>12</v>
      </c>
      <c r="E13" s="20">
        <v>1</v>
      </c>
      <c r="F13" s="20">
        <v>0</v>
      </c>
      <c r="G13" s="20">
        <v>1</v>
      </c>
      <c r="H13" s="20">
        <v>13</v>
      </c>
    </row>
    <row r="14" ht="22" customHeight="1" spans="1:8" x14ac:dyDescent="0.25">
      <c r="A14" s="11" t="s">
        <v>84</v>
      </c>
      <c r="B14" s="12" t="s">
        <v>87</v>
      </c>
      <c r="C14" s="12" t="s">
        <v>136</v>
      </c>
      <c r="D14" s="20">
        <v>12</v>
      </c>
      <c r="E14" s="20">
        <v>1</v>
      </c>
      <c r="F14" s="20">
        <v>0</v>
      </c>
      <c r="G14" s="20">
        <v>1</v>
      </c>
      <c r="H14" s="20">
        <v>13</v>
      </c>
    </row>
    <row r="15" ht="22" customHeight="1" spans="1:8" x14ac:dyDescent="0.25">
      <c r="A15" s="11" t="s">
        <v>84</v>
      </c>
      <c r="B15" s="12" t="s">
        <v>87</v>
      </c>
      <c r="C15" s="12" t="s">
        <v>137</v>
      </c>
      <c r="D15" s="20">
        <v>12</v>
      </c>
      <c r="E15" s="20">
        <v>1</v>
      </c>
      <c r="F15" s="20">
        <v>0</v>
      </c>
      <c r="G15" s="20">
        <v>1</v>
      </c>
      <c r="H15" s="20">
        <v>13</v>
      </c>
    </row>
    <row r="16" ht="22" customHeight="1" spans="1:8" x14ac:dyDescent="0.25">
      <c r="A16" s="11" t="s">
        <v>84</v>
      </c>
      <c r="B16" s="12" t="s">
        <v>87</v>
      </c>
      <c r="C16" s="12" t="s">
        <v>138</v>
      </c>
      <c r="D16" s="20">
        <v>12</v>
      </c>
      <c r="E16" s="20">
        <v>1</v>
      </c>
      <c r="F16" s="20">
        <v>0</v>
      </c>
      <c r="G16" s="20">
        <v>1</v>
      </c>
      <c r="H16" s="20">
        <v>13</v>
      </c>
    </row>
    <row r="17" ht="22" customHeight="1" spans="1:8" x14ac:dyDescent="0.25">
      <c r="A17" s="11" t="s">
        <v>84</v>
      </c>
      <c r="B17" s="12" t="s">
        <v>87</v>
      </c>
      <c r="C17" s="12" t="s">
        <v>139</v>
      </c>
      <c r="D17" s="20">
        <v>12</v>
      </c>
      <c r="E17" s="20">
        <v>1</v>
      </c>
      <c r="F17" s="20">
        <v>0</v>
      </c>
      <c r="G17" s="20">
        <v>1</v>
      </c>
      <c r="H17" s="20">
        <v>13</v>
      </c>
    </row>
    <row r="18" ht="22" customHeight="1" spans="1:8" x14ac:dyDescent="0.25">
      <c r="A18" s="11" t="s">
        <v>84</v>
      </c>
      <c r="B18" s="12" t="s">
        <v>88</v>
      </c>
      <c r="C18" s="12" t="s">
        <v>135</v>
      </c>
      <c r="D18" s="20">
        <v>12</v>
      </c>
      <c r="E18" s="20">
        <v>1</v>
      </c>
      <c r="F18" s="20">
        <v>0</v>
      </c>
      <c r="G18" s="20">
        <v>1</v>
      </c>
      <c r="H18" s="20">
        <v>13</v>
      </c>
    </row>
    <row r="19" ht="22" customHeight="1" spans="1:8" x14ac:dyDescent="0.25">
      <c r="A19" s="11" t="s">
        <v>84</v>
      </c>
      <c r="B19" s="12" t="s">
        <v>88</v>
      </c>
      <c r="C19" s="12" t="s">
        <v>136</v>
      </c>
      <c r="D19" s="20">
        <v>12</v>
      </c>
      <c r="E19" s="20">
        <v>1</v>
      </c>
      <c r="F19" s="20">
        <v>0</v>
      </c>
      <c r="G19" s="20">
        <v>1</v>
      </c>
      <c r="H19" s="20">
        <v>13</v>
      </c>
    </row>
    <row r="20" ht="22" customHeight="1" spans="1:8" x14ac:dyDescent="0.25">
      <c r="A20" s="11" t="s">
        <v>84</v>
      </c>
      <c r="B20" s="12" t="s">
        <v>88</v>
      </c>
      <c r="C20" s="12" t="s">
        <v>137</v>
      </c>
      <c r="D20" s="20">
        <v>12</v>
      </c>
      <c r="E20" s="20">
        <v>1</v>
      </c>
      <c r="F20" s="20">
        <v>0</v>
      </c>
      <c r="G20" s="20">
        <v>1</v>
      </c>
      <c r="H20" s="20">
        <v>13</v>
      </c>
    </row>
    <row r="21" ht="22" customHeight="1" spans="1:8" x14ac:dyDescent="0.25">
      <c r="A21" s="11" t="s">
        <v>84</v>
      </c>
      <c r="B21" s="12" t="s">
        <v>88</v>
      </c>
      <c r="C21" s="12" t="s">
        <v>138</v>
      </c>
      <c r="D21" s="20">
        <v>12</v>
      </c>
      <c r="E21" s="20">
        <v>1</v>
      </c>
      <c r="F21" s="20">
        <v>0</v>
      </c>
      <c r="G21" s="20">
        <v>1</v>
      </c>
      <c r="H21" s="20">
        <v>13</v>
      </c>
    </row>
    <row r="22" ht="22" customHeight="1" spans="1:8" x14ac:dyDescent="0.25">
      <c r="A22" s="11" t="s">
        <v>84</v>
      </c>
      <c r="B22" s="12" t="s">
        <v>88</v>
      </c>
      <c r="C22" s="12" t="s">
        <v>139</v>
      </c>
      <c r="D22" s="20">
        <v>12</v>
      </c>
      <c r="E22" s="20">
        <v>1</v>
      </c>
      <c r="F22" s="20">
        <v>0</v>
      </c>
      <c r="G22" s="20">
        <v>1</v>
      </c>
      <c r="H22" s="20">
        <v>13</v>
      </c>
    </row>
    <row r="23" ht="22" customHeight="1" spans="1:8" x14ac:dyDescent="0.25">
      <c r="A23" s="11" t="s">
        <v>84</v>
      </c>
      <c r="B23" s="12" t="s">
        <v>89</v>
      </c>
      <c r="C23" s="12" t="s">
        <v>135</v>
      </c>
      <c r="D23" s="20">
        <v>12</v>
      </c>
      <c r="E23" s="20">
        <v>1</v>
      </c>
      <c r="F23" s="20">
        <v>0</v>
      </c>
      <c r="G23" s="20">
        <v>1</v>
      </c>
      <c r="H23" s="20">
        <v>13</v>
      </c>
    </row>
    <row r="24" ht="22" customHeight="1" spans="1:8" x14ac:dyDescent="0.25">
      <c r="A24" s="11" t="s">
        <v>84</v>
      </c>
      <c r="B24" s="12" t="s">
        <v>89</v>
      </c>
      <c r="C24" s="12" t="s">
        <v>136</v>
      </c>
      <c r="D24" s="20">
        <v>12</v>
      </c>
      <c r="E24" s="20">
        <v>1</v>
      </c>
      <c r="F24" s="20">
        <v>0</v>
      </c>
      <c r="G24" s="20">
        <v>1</v>
      </c>
      <c r="H24" s="20">
        <v>13</v>
      </c>
    </row>
    <row r="25" ht="22" customHeight="1" spans="1:8" x14ac:dyDescent="0.25">
      <c r="A25" s="11" t="s">
        <v>84</v>
      </c>
      <c r="B25" s="12" t="s">
        <v>89</v>
      </c>
      <c r="C25" s="12" t="s">
        <v>137</v>
      </c>
      <c r="D25" s="20">
        <v>12</v>
      </c>
      <c r="E25" s="20">
        <v>1</v>
      </c>
      <c r="F25" s="20">
        <v>0</v>
      </c>
      <c r="G25" s="20">
        <v>1</v>
      </c>
      <c r="H25" s="20">
        <v>13</v>
      </c>
    </row>
    <row r="26" ht="22" customHeight="1" spans="1:8" x14ac:dyDescent="0.25">
      <c r="A26" s="11" t="s">
        <v>84</v>
      </c>
      <c r="B26" s="12" t="s">
        <v>89</v>
      </c>
      <c r="C26" s="12" t="s">
        <v>138</v>
      </c>
      <c r="D26" s="20">
        <v>12</v>
      </c>
      <c r="E26" s="20">
        <v>1</v>
      </c>
      <c r="F26" s="20">
        <v>0</v>
      </c>
      <c r="G26" s="20">
        <v>1</v>
      </c>
      <c r="H26" s="20">
        <v>13</v>
      </c>
    </row>
    <row r="27" ht="22" customHeight="1" spans="1:8" x14ac:dyDescent="0.25">
      <c r="A27" s="11" t="s">
        <v>84</v>
      </c>
      <c r="B27" s="12" t="s">
        <v>89</v>
      </c>
      <c r="C27" s="12" t="s">
        <v>139</v>
      </c>
      <c r="D27" s="20">
        <v>12</v>
      </c>
      <c r="E27" s="20">
        <v>1</v>
      </c>
      <c r="F27" s="20">
        <v>0</v>
      </c>
      <c r="G27" s="20">
        <v>1</v>
      </c>
      <c r="H27" s="20">
        <v>13</v>
      </c>
    </row>
    <row r="28" ht="22" customHeight="1" spans="1:8" x14ac:dyDescent="0.25">
      <c r="A28" s="11" t="s">
        <v>84</v>
      </c>
      <c r="B28" s="12" t="s">
        <v>90</v>
      </c>
      <c r="C28" s="12" t="s">
        <v>135</v>
      </c>
      <c r="D28" s="20">
        <v>12</v>
      </c>
      <c r="E28" s="20">
        <v>1</v>
      </c>
      <c r="F28" s="20">
        <v>0</v>
      </c>
      <c r="G28" s="20">
        <v>1</v>
      </c>
      <c r="H28" s="20">
        <v>13</v>
      </c>
    </row>
    <row r="29" ht="22" customHeight="1" spans="1:8" x14ac:dyDescent="0.25">
      <c r="A29" s="11" t="s">
        <v>84</v>
      </c>
      <c r="B29" s="12" t="s">
        <v>90</v>
      </c>
      <c r="C29" s="12" t="s">
        <v>136</v>
      </c>
      <c r="D29" s="20">
        <v>12</v>
      </c>
      <c r="E29" s="20">
        <v>1</v>
      </c>
      <c r="F29" s="20">
        <v>0</v>
      </c>
      <c r="G29" s="20">
        <v>1</v>
      </c>
      <c r="H29" s="20">
        <v>13</v>
      </c>
    </row>
    <row r="30" ht="22" customHeight="1" spans="1:8" x14ac:dyDescent="0.25">
      <c r="A30" s="11" t="s">
        <v>84</v>
      </c>
      <c r="B30" s="12" t="s">
        <v>90</v>
      </c>
      <c r="C30" s="12" t="s">
        <v>137</v>
      </c>
      <c r="D30" s="20">
        <v>12</v>
      </c>
      <c r="E30" s="20">
        <v>1</v>
      </c>
      <c r="F30" s="20">
        <v>0</v>
      </c>
      <c r="G30" s="20">
        <v>1</v>
      </c>
      <c r="H30" s="20">
        <v>13</v>
      </c>
    </row>
    <row r="31" ht="22" customHeight="1" spans="1:8" x14ac:dyDescent="0.25">
      <c r="A31" s="11" t="s">
        <v>84</v>
      </c>
      <c r="B31" s="12" t="s">
        <v>90</v>
      </c>
      <c r="C31" s="12" t="s">
        <v>138</v>
      </c>
      <c r="D31" s="20">
        <v>12</v>
      </c>
      <c r="E31" s="20">
        <v>1</v>
      </c>
      <c r="F31" s="20">
        <v>0</v>
      </c>
      <c r="G31" s="20">
        <v>1</v>
      </c>
      <c r="H31" s="20">
        <v>13</v>
      </c>
    </row>
    <row r="32" ht="22" customHeight="1" spans="1:8" x14ac:dyDescent="0.25">
      <c r="A32" s="11" t="s">
        <v>84</v>
      </c>
      <c r="B32" s="12" t="s">
        <v>90</v>
      </c>
      <c r="C32" s="12" t="s">
        <v>139</v>
      </c>
      <c r="D32" s="20">
        <v>12</v>
      </c>
      <c r="E32" s="20">
        <v>1</v>
      </c>
      <c r="F32" s="20">
        <v>0</v>
      </c>
      <c r="G32" s="20">
        <v>1</v>
      </c>
      <c r="H32" s="20">
        <v>13</v>
      </c>
    </row>
  </sheetData>
  <mergeCells count="1">
    <mergeCell ref="A1:H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14" customWidth="1"/>
    <col min="3" max="3" width="25" customWidth="1"/>
    <col min="4" max="4" width="28" customWidth="1"/>
    <col min="5" max="5" width="24" customWidth="1"/>
  </cols>
  <sheetData>
    <row r="1" ht="32" customHeight="1" spans="1:5" x14ac:dyDescent="0.25">
      <c r="A1" s="4" t="s">
        <v>140</v>
      </c>
      <c r="B1" s="4"/>
      <c r="C1" s="4"/>
      <c r="D1" s="4"/>
      <c r="E1" s="4"/>
    </row>
    <row r="2" ht="28" customHeight="1" spans="1:5" x14ac:dyDescent="0.25">
      <c r="A2" s="5" t="s">
        <v>141</v>
      </c>
      <c r="B2" s="5" t="s">
        <v>142</v>
      </c>
      <c r="C2" s="5" t="s">
        <v>143</v>
      </c>
      <c r="D2" s="5" t="s">
        <v>144</v>
      </c>
      <c r="E2" s="5" t="s">
        <v>145</v>
      </c>
    </row>
    <row r="3" ht="22" customHeight="1" spans="1:5" x14ac:dyDescent="0.25">
      <c r="A3" s="12" t="s">
        <v>85</v>
      </c>
      <c r="B3" s="11" t="s">
        <v>70</v>
      </c>
      <c r="C3" s="12" t="s">
        <v>146</v>
      </c>
      <c r="D3" s="12" t="s">
        <v>119</v>
      </c>
      <c r="E3" s="21">
        <v>4500000000</v>
      </c>
    </row>
    <row r="4" ht="22" customHeight="1" spans="1:5" x14ac:dyDescent="0.25">
      <c r="A4" s="12" t="s">
        <v>85</v>
      </c>
      <c r="B4" s="11" t="s">
        <v>70</v>
      </c>
      <c r="C4" s="12" t="s">
        <v>147</v>
      </c>
      <c r="D4" s="12" t="s">
        <v>113</v>
      </c>
      <c r="E4" s="21">
        <v>8500000000</v>
      </c>
    </row>
    <row r="5" ht="22" customHeight="1" spans="1:5" x14ac:dyDescent="0.25">
      <c r="A5" s="12" t="s">
        <v>85</v>
      </c>
      <c r="B5" s="11" t="s">
        <v>70</v>
      </c>
      <c r="C5" s="12" t="s">
        <v>146</v>
      </c>
      <c r="D5" s="12" t="s">
        <v>148</v>
      </c>
      <c r="E5" s="21">
        <v>3200000000</v>
      </c>
    </row>
    <row r="6" ht="22" customHeight="1" spans="1:5" x14ac:dyDescent="0.25">
      <c r="A6" s="12" t="s">
        <v>86</v>
      </c>
      <c r="B6" s="11" t="s">
        <v>70</v>
      </c>
      <c r="C6" s="12" t="s">
        <v>146</v>
      </c>
      <c r="D6" s="12" t="s">
        <v>149</v>
      </c>
      <c r="E6" s="21">
        <v>6200000000</v>
      </c>
    </row>
    <row r="7" ht="22" customHeight="1" spans="1:5" x14ac:dyDescent="0.25">
      <c r="A7" s="12" t="s">
        <v>86</v>
      </c>
      <c r="B7" s="11" t="s">
        <v>70</v>
      </c>
      <c r="C7" s="12" t="s">
        <v>147</v>
      </c>
      <c r="D7" s="12" t="s">
        <v>113</v>
      </c>
      <c r="E7" s="21">
        <v>5800000000</v>
      </c>
    </row>
    <row r="8" ht="22" customHeight="1" spans="1:5" x14ac:dyDescent="0.25">
      <c r="A8" s="12" t="s">
        <v>87</v>
      </c>
      <c r="B8" s="11" t="s">
        <v>70</v>
      </c>
      <c r="C8" s="12" t="s">
        <v>146</v>
      </c>
      <c r="D8" s="12" t="s">
        <v>150</v>
      </c>
      <c r="E8" s="21">
        <v>18500000000</v>
      </c>
    </row>
    <row r="9" ht="22" customHeight="1" spans="1:5" x14ac:dyDescent="0.25">
      <c r="A9" s="12" t="s">
        <v>87</v>
      </c>
      <c r="B9" s="11" t="s">
        <v>70</v>
      </c>
      <c r="C9" s="12" t="s">
        <v>147</v>
      </c>
      <c r="D9" s="12" t="s">
        <v>151</v>
      </c>
      <c r="E9" s="21">
        <v>21000000000</v>
      </c>
    </row>
    <row r="10" ht="22" customHeight="1" spans="1:5" x14ac:dyDescent="0.25">
      <c r="A10" s="12" t="s">
        <v>88</v>
      </c>
      <c r="B10" s="11" t="s">
        <v>70</v>
      </c>
      <c r="C10" s="12" t="s">
        <v>147</v>
      </c>
      <c r="D10" s="12" t="s">
        <v>113</v>
      </c>
      <c r="E10" s="21">
        <v>4500000000</v>
      </c>
    </row>
    <row r="11" ht="22" customHeight="1" spans="1:5" x14ac:dyDescent="0.25">
      <c r="A11" s="12" t="s">
        <v>89</v>
      </c>
      <c r="B11" s="11" t="s">
        <v>70</v>
      </c>
      <c r="C11" s="12" t="s">
        <v>152</v>
      </c>
      <c r="D11" s="12" t="s">
        <v>153</v>
      </c>
      <c r="E11" s="21">
        <v>2350000000</v>
      </c>
    </row>
  </sheetData>
  <mergeCells count="1">
    <mergeCell ref="A1:E1"/>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Views>
    <sheetView workbookViewId="0">
      <pane ySplit="2" topLeftCell="A3" activePane="bottomLeft" state="frozen"/>
      <selection pane="bottomLeft"/>
    </sheetView>
  </sheetViews>
  <sheetFormatPr defaultRowHeight="15" outlineLevelRow="0" outlineLevelCol="0" x14ac:dyDescent="55"/>
  <cols>
    <col min="1" max="1" width="8" customWidth="1"/>
    <col min="2" max="2" width="38" customWidth="1"/>
    <col min="3" max="4" width="18" customWidth="1"/>
    <col min="5" max="13" width="14" customWidth="1"/>
  </cols>
  <sheetData>
    <row r="1" ht="32" customHeight="1" spans="1:13" x14ac:dyDescent="0.25">
      <c r="A1" s="4" t="s">
        <v>154</v>
      </c>
      <c r="B1" s="4"/>
      <c r="C1" s="4"/>
      <c r="D1" s="4"/>
      <c r="E1" s="4"/>
      <c r="F1" s="22" t="s">
        <v>155</v>
      </c>
      <c r="G1" s="22"/>
      <c r="H1" s="22"/>
      <c r="I1" s="22"/>
      <c r="J1" s="22"/>
      <c r="K1" s="22"/>
      <c r="L1" s="22"/>
      <c r="M1" s="22"/>
    </row>
    <row r="2" ht="28" customHeight="1" spans="1:13" x14ac:dyDescent="0.25">
      <c r="A2" s="5" t="s">
        <v>18</v>
      </c>
      <c r="B2" s="5" t="s">
        <v>156</v>
      </c>
      <c r="C2" s="5" t="s">
        <v>157</v>
      </c>
      <c r="D2" s="5" t="s">
        <v>158</v>
      </c>
      <c r="E2" s="5" t="s">
        <v>159</v>
      </c>
      <c r="F2" s="5" t="s">
        <v>160</v>
      </c>
      <c r="G2" s="5" t="s">
        <v>161</v>
      </c>
      <c r="H2" s="5" t="s">
        <v>162</v>
      </c>
      <c r="I2" s="5" t="s">
        <v>163</v>
      </c>
      <c r="J2" s="5" t="s">
        <v>164</v>
      </c>
      <c r="K2" s="5" t="s">
        <v>165</v>
      </c>
      <c r="L2" s="5" t="s">
        <v>137</v>
      </c>
      <c r="M2" s="5" t="s">
        <v>166</v>
      </c>
    </row>
    <row r="3" ht="22" customHeight="1" spans="1:13" x14ac:dyDescent="0.25">
      <c r="A3" s="23" t="s">
        <v>167</v>
      </c>
      <c r="B3" s="24" t="s">
        <v>168</v>
      </c>
      <c r="C3" s="25">
        <v>3500000000</v>
      </c>
      <c r="D3" s="25">
        <v>3200000000</v>
      </c>
      <c r="E3" s="26">
        <v>91.4</v>
      </c>
      <c r="F3" s="27">
        <v>650000000</v>
      </c>
      <c r="G3" s="27">
        <v>480000000</v>
      </c>
      <c r="H3" s="27">
        <v>420000000</v>
      </c>
      <c r="I3" s="27">
        <v>680000000</v>
      </c>
      <c r="J3" s="27">
        <v>250000000</v>
      </c>
      <c r="K3" s="27">
        <v>180000000</v>
      </c>
      <c r="L3" s="27">
        <v>320000000</v>
      </c>
      <c r="M3" s="27">
        <v>220000000</v>
      </c>
    </row>
    <row r="4" ht="22" customHeight="1" spans="1:13" x14ac:dyDescent="0.25">
      <c r="A4" s="23" t="s">
        <v>169</v>
      </c>
      <c r="B4" s="24" t="s">
        <v>170</v>
      </c>
      <c r="C4" s="25">
        <v>2100000000</v>
      </c>
      <c r="D4" s="25">
        <v>1980000000</v>
      </c>
      <c r="E4" s="26">
        <v>94.3</v>
      </c>
      <c r="F4" s="27">
        <v>410000000</v>
      </c>
      <c r="G4" s="27">
        <v>310000000</v>
      </c>
      <c r="H4" s="27">
        <v>270000000</v>
      </c>
      <c r="I4" s="27">
        <v>410000000</v>
      </c>
      <c r="J4" s="27">
        <v>150000000</v>
      </c>
      <c r="K4" s="27">
        <v>110000000</v>
      </c>
      <c r="L4" s="27">
        <v>200000000</v>
      </c>
      <c r="M4" s="27">
        <v>120000000</v>
      </c>
    </row>
    <row r="5" ht="22" customHeight="1" spans="1:13" x14ac:dyDescent="0.25">
      <c r="A5" s="11" t="s">
        <v>34</v>
      </c>
      <c r="B5" s="12" t="s">
        <v>171</v>
      </c>
      <c r="C5" s="13">
        <v>1500000000</v>
      </c>
      <c r="D5" s="13">
        <v>1450000000</v>
      </c>
      <c r="E5" s="28">
        <v>96.7</v>
      </c>
      <c r="F5" s="21">
        <v>320000000</v>
      </c>
      <c r="G5" s="21">
        <v>240000000</v>
      </c>
      <c r="H5" s="21">
        <v>210000000</v>
      </c>
      <c r="I5" s="21">
        <v>310000000</v>
      </c>
      <c r="J5" s="21">
        <v>110000000</v>
      </c>
      <c r="K5" s="21">
        <v>80000000</v>
      </c>
      <c r="L5" s="21">
        <v>120000000</v>
      </c>
      <c r="M5" s="21">
        <v>60000000</v>
      </c>
    </row>
    <row r="6" ht="22" customHeight="1" spans="1:13" x14ac:dyDescent="0.25">
      <c r="A6" s="11" t="s">
        <v>40</v>
      </c>
      <c r="B6" s="12" t="s">
        <v>172</v>
      </c>
      <c r="C6" s="13">
        <v>350000000</v>
      </c>
      <c r="D6" s="13">
        <v>330000000</v>
      </c>
      <c r="E6" s="28">
        <v>94.3</v>
      </c>
      <c r="F6" s="21">
        <v>50000000</v>
      </c>
      <c r="G6" s="21">
        <v>40000000</v>
      </c>
      <c r="H6" s="21">
        <v>35000000</v>
      </c>
      <c r="I6" s="21">
        <v>60000000</v>
      </c>
      <c r="J6" s="21">
        <v>25000000</v>
      </c>
      <c r="K6" s="21">
        <v>20000000</v>
      </c>
      <c r="L6" s="21">
        <v>50000000</v>
      </c>
      <c r="M6" s="21">
        <v>50000000</v>
      </c>
    </row>
    <row r="7" ht="22" customHeight="1" spans="1:13" x14ac:dyDescent="0.25">
      <c r="A7" s="11" t="s">
        <v>45</v>
      </c>
      <c r="B7" s="12" t="s">
        <v>173</v>
      </c>
      <c r="C7" s="13">
        <v>250000000</v>
      </c>
      <c r="D7" s="13">
        <v>200000000</v>
      </c>
      <c r="E7" s="28">
        <v>80</v>
      </c>
      <c r="F7" s="21">
        <v>40000000</v>
      </c>
      <c r="G7" s="21">
        <v>30000000</v>
      </c>
      <c r="H7" s="21">
        <v>25000000</v>
      </c>
      <c r="I7" s="21">
        <v>40000000</v>
      </c>
      <c r="J7" s="21">
        <v>15000000</v>
      </c>
      <c r="K7" s="21">
        <v>10000000</v>
      </c>
      <c r="L7" s="21">
        <v>30000000</v>
      </c>
      <c r="M7" s="21">
        <v>10000000</v>
      </c>
    </row>
    <row r="8" ht="22" customHeight="1" spans="1:13" x14ac:dyDescent="0.25">
      <c r="A8" s="23" t="s">
        <v>174</v>
      </c>
      <c r="B8" s="24" t="s">
        <v>175</v>
      </c>
      <c r="C8" s="25">
        <v>1200000000</v>
      </c>
      <c r="D8" s="25">
        <v>1070000000</v>
      </c>
      <c r="E8" s="26">
        <v>89.2</v>
      </c>
      <c r="F8" s="27">
        <v>210000000</v>
      </c>
      <c r="G8" s="27">
        <v>150000000</v>
      </c>
      <c r="H8" s="27">
        <v>130000000</v>
      </c>
      <c r="I8" s="27">
        <v>240000000</v>
      </c>
      <c r="J8" s="27">
        <v>90000000</v>
      </c>
      <c r="K8" s="27">
        <v>60000000</v>
      </c>
      <c r="L8" s="27">
        <v>110000000</v>
      </c>
      <c r="M8" s="27">
        <v>80000000</v>
      </c>
    </row>
    <row r="9" ht="22" customHeight="1" spans="1:13" x14ac:dyDescent="0.25">
      <c r="A9" s="11" t="s">
        <v>34</v>
      </c>
      <c r="B9" s="12" t="s">
        <v>176</v>
      </c>
      <c r="C9" s="13">
        <v>60000000</v>
      </c>
      <c r="D9" s="13">
        <v>55000000</v>
      </c>
      <c r="E9" s="28">
        <v>91.7</v>
      </c>
      <c r="F9" s="21">
        <v>12000000</v>
      </c>
      <c r="G9" s="21">
        <v>8000000</v>
      </c>
      <c r="H9" s="21">
        <v>7000000</v>
      </c>
      <c r="I9" s="21">
        <v>12000000</v>
      </c>
      <c r="J9" s="21">
        <v>4000000</v>
      </c>
      <c r="K9" s="21">
        <v>3000000</v>
      </c>
      <c r="L9" s="21">
        <v>5000000</v>
      </c>
      <c r="M9" s="21">
        <v>4000000</v>
      </c>
    </row>
    <row r="10" ht="22" customHeight="1" spans="1:13" x14ac:dyDescent="0.25">
      <c r="A10" s="11" t="s">
        <v>40</v>
      </c>
      <c r="B10" s="12" t="s">
        <v>177</v>
      </c>
      <c r="C10" s="13">
        <v>180000000</v>
      </c>
      <c r="D10" s="13">
        <v>165000000</v>
      </c>
      <c r="E10" s="28">
        <v>91.7</v>
      </c>
      <c r="F10" s="21">
        <v>45000000</v>
      </c>
      <c r="G10" s="21">
        <v>25000000</v>
      </c>
      <c r="H10" s="21">
        <v>20000000</v>
      </c>
      <c r="I10" s="21">
        <v>40000000</v>
      </c>
      <c r="J10" s="21">
        <v>15000000</v>
      </c>
      <c r="K10" s="21">
        <v>10000000</v>
      </c>
      <c r="L10" s="21">
        <v>5000000</v>
      </c>
      <c r="M10" s="21">
        <v>5000000</v>
      </c>
    </row>
    <row r="11" ht="22" customHeight="1" spans="1:13" x14ac:dyDescent="0.25">
      <c r="A11" s="11" t="s">
        <v>45</v>
      </c>
      <c r="B11" s="12" t="s">
        <v>178</v>
      </c>
      <c r="C11" s="13">
        <v>220000000</v>
      </c>
      <c r="D11" s="13">
        <v>195000000</v>
      </c>
      <c r="E11" s="28">
        <v>88.6</v>
      </c>
      <c r="F11" s="21">
        <v>20000000</v>
      </c>
      <c r="G11" s="21">
        <v>40000000</v>
      </c>
      <c r="H11" s="21">
        <v>35000000</v>
      </c>
      <c r="I11" s="21">
        <v>65000000</v>
      </c>
      <c r="J11" s="21">
        <v>20000000</v>
      </c>
      <c r="K11" s="21">
        <v>10000000</v>
      </c>
      <c r="L11" s="21">
        <v>3000000</v>
      </c>
      <c r="M11" s="21">
        <v>2000000</v>
      </c>
    </row>
    <row r="12" ht="22" customHeight="1" spans="1:13" x14ac:dyDescent="0.25">
      <c r="A12" s="11" t="s">
        <v>50</v>
      </c>
      <c r="B12" s="12" t="s">
        <v>179</v>
      </c>
      <c r="C12" s="13">
        <v>350000000</v>
      </c>
      <c r="D12" s="13">
        <v>310000000</v>
      </c>
      <c r="E12" s="28">
        <v>88.6</v>
      </c>
      <c r="F12" s="21">
        <v>120000000</v>
      </c>
      <c r="G12" s="21">
        <v>30000000</v>
      </c>
      <c r="H12" s="21">
        <v>25000000</v>
      </c>
      <c r="I12" s="21">
        <v>50000000</v>
      </c>
      <c r="J12" s="21">
        <v>25000000</v>
      </c>
      <c r="K12" s="21">
        <v>15000000</v>
      </c>
      <c r="L12" s="21">
        <v>25000000</v>
      </c>
      <c r="M12" s="21">
        <v>20000000</v>
      </c>
    </row>
    <row r="13" ht="22" customHeight="1" spans="1:13" x14ac:dyDescent="0.25">
      <c r="A13" s="23" t="s">
        <v>180</v>
      </c>
      <c r="B13" s="24" t="s">
        <v>181</v>
      </c>
      <c r="C13" s="25">
        <v>200000000</v>
      </c>
      <c r="D13" s="25">
        <v>150000000</v>
      </c>
      <c r="E13" s="26">
        <v>75</v>
      </c>
      <c r="F13" s="27">
        <v>30000000</v>
      </c>
      <c r="G13" s="27">
        <v>20000000</v>
      </c>
      <c r="H13" s="27">
        <v>20000000</v>
      </c>
      <c r="I13" s="27">
        <v>30000000</v>
      </c>
      <c r="J13" s="27">
        <v>10000000</v>
      </c>
      <c r="K13" s="27">
        <v>10000000</v>
      </c>
      <c r="L13" s="27">
        <v>10000000</v>
      </c>
      <c r="M13" s="27">
        <v>20000000</v>
      </c>
    </row>
  </sheetData>
  <mergeCells count="2">
    <mergeCell ref="A1:E1"/>
    <mergeCell ref="F1:M1"/>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25" customWidth="1"/>
    <col min="3" max="3" width="45" customWidth="1"/>
    <col min="4" max="4" width="25" customWidth="1"/>
  </cols>
  <sheetData>
    <row r="1" ht="32" customHeight="1" spans="1:4" x14ac:dyDescent="0.25">
      <c r="A1" s="4" t="s">
        <v>182</v>
      </c>
      <c r="B1" s="4"/>
      <c r="C1" s="4"/>
      <c r="D1" s="4"/>
    </row>
    <row r="2" ht="28" customHeight="1" spans="1:4" x14ac:dyDescent="0.25">
      <c r="A2" s="5" t="s">
        <v>141</v>
      </c>
      <c r="B2" s="5" t="s">
        <v>183</v>
      </c>
      <c r="C2" s="5" t="s">
        <v>184</v>
      </c>
      <c r="D2" s="5" t="s">
        <v>185</v>
      </c>
    </row>
    <row r="3" ht="22" customHeight="1" spans="1:4" x14ac:dyDescent="0.25">
      <c r="A3" s="12" t="s">
        <v>85</v>
      </c>
      <c r="B3" s="12" t="s">
        <v>186</v>
      </c>
      <c r="C3" s="12" t="s">
        <v>187</v>
      </c>
      <c r="D3" s="11" t="s">
        <v>188</v>
      </c>
    </row>
    <row r="4" ht="22" customHeight="1" spans="1:4" x14ac:dyDescent="0.25">
      <c r="A4" s="12" t="s">
        <v>85</v>
      </c>
      <c r="B4" s="12" t="s">
        <v>137</v>
      </c>
      <c r="C4" s="12" t="s">
        <v>189</v>
      </c>
      <c r="D4" s="11" t="s">
        <v>190</v>
      </c>
    </row>
    <row r="5" ht="22" customHeight="1" spans="1:4" x14ac:dyDescent="0.25">
      <c r="A5" s="12" t="s">
        <v>86</v>
      </c>
      <c r="B5" s="12" t="s">
        <v>135</v>
      </c>
      <c r="C5" s="12" t="s">
        <v>191</v>
      </c>
      <c r="D5" s="11" t="s">
        <v>188</v>
      </c>
    </row>
    <row r="6" ht="22" customHeight="1" spans="1:4" x14ac:dyDescent="0.25">
      <c r="A6" s="12" t="s">
        <v>87</v>
      </c>
      <c r="B6" s="12" t="s">
        <v>136</v>
      </c>
      <c r="C6" s="12" t="s">
        <v>192</v>
      </c>
      <c r="D6" s="11" t="s">
        <v>188</v>
      </c>
    </row>
    <row r="7" ht="22" customHeight="1" spans="1:4" x14ac:dyDescent="0.25">
      <c r="A7" s="12" t="s">
        <v>88</v>
      </c>
      <c r="B7" s="12" t="s">
        <v>193</v>
      </c>
      <c r="C7" s="12" t="s">
        <v>194</v>
      </c>
      <c r="D7" s="11" t="s">
        <v>188</v>
      </c>
    </row>
    <row r="8" ht="22" customHeight="1" spans="1:4" x14ac:dyDescent="0.25">
      <c r="A8" s="12" t="s">
        <v>89</v>
      </c>
      <c r="B8" s="12" t="s">
        <v>195</v>
      </c>
      <c r="C8" s="12" t="s">
        <v>196</v>
      </c>
      <c r="D8" s="11" t="s">
        <v>188</v>
      </c>
    </row>
  </sheetData>
  <mergeCells count="1">
    <mergeCell ref="A1:D1"/>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pane ySplit="2" topLeftCell="A3" activePane="bottomLeft" state="frozen"/>
      <selection pane="bottomLeft"/>
    </sheetView>
  </sheetViews>
  <sheetFormatPr defaultRowHeight="15" outlineLevelRow="0" outlineLevelCol="0" x14ac:dyDescent="55"/>
  <cols>
    <col min="1" max="1" width="8" customWidth="1"/>
    <col min="2" max="2" width="45" customWidth="1"/>
    <col min="3" max="3" width="25" customWidth="1"/>
    <col min="4" max="5" width="18" customWidth="1"/>
    <col min="6" max="6" width="16" customWidth="1"/>
    <col min="7" max="7" width="30" customWidth="1"/>
  </cols>
  <sheetData>
    <row r="1" ht="32" customHeight="1" spans="1:7" x14ac:dyDescent="0.25">
      <c r="A1" s="4" t="s">
        <v>197</v>
      </c>
      <c r="B1" s="4"/>
      <c r="C1" s="4"/>
      <c r="D1" s="4"/>
      <c r="E1" s="4"/>
      <c r="F1" s="4"/>
      <c r="G1" s="4"/>
    </row>
    <row r="2" ht="28" customHeight="1" spans="1:7" x14ac:dyDescent="0.25">
      <c r="A2" s="5" t="s">
        <v>18</v>
      </c>
      <c r="B2" s="5" t="s">
        <v>198</v>
      </c>
      <c r="C2" s="5" t="s">
        <v>199</v>
      </c>
      <c r="D2" s="5" t="s">
        <v>200</v>
      </c>
      <c r="E2" s="5" t="s">
        <v>201</v>
      </c>
      <c r="F2" s="5" t="s">
        <v>202</v>
      </c>
      <c r="G2" s="5" t="s">
        <v>203</v>
      </c>
    </row>
    <row r="3" ht="22" customHeight="1" spans="1:7" x14ac:dyDescent="0.25">
      <c r="A3" s="11">
        <v>1</v>
      </c>
      <c r="B3" s="12" t="s">
        <v>204</v>
      </c>
      <c r="C3" s="12" t="s">
        <v>205</v>
      </c>
      <c r="D3" s="11">
        <v>30</v>
      </c>
      <c r="E3" s="11">
        <v>28</v>
      </c>
      <c r="F3" s="29">
        <f>E3/D3</f>
      </c>
      <c r="G3" s="12" t="s">
        <v>206</v>
      </c>
    </row>
    <row r="4" ht="22" customHeight="1" spans="1:7" x14ac:dyDescent="0.25">
      <c r="A4" s="11">
        <v>2</v>
      </c>
      <c r="B4" s="12" t="s">
        <v>207</v>
      </c>
      <c r="C4" s="12" t="s">
        <v>208</v>
      </c>
      <c r="D4" s="11">
        <v>40</v>
      </c>
      <c r="E4" s="11">
        <v>38</v>
      </c>
      <c r="F4" s="29">
        <f>E4/D4</f>
      </c>
      <c r="G4" s="12" t="s">
        <v>209</v>
      </c>
    </row>
    <row r="5" ht="22" customHeight="1" spans="1:7" x14ac:dyDescent="0.25">
      <c r="A5" s="11">
        <v>3</v>
      </c>
      <c r="B5" s="12" t="s">
        <v>210</v>
      </c>
      <c r="C5" s="12" t="s">
        <v>211</v>
      </c>
      <c r="D5" s="11">
        <v>50</v>
      </c>
      <c r="E5" s="11">
        <v>48</v>
      </c>
      <c r="F5" s="29">
        <f>E5/D5</f>
      </c>
      <c r="G5" s="12" t="s">
        <v>212</v>
      </c>
    </row>
    <row r="6" ht="22" customHeight="1" spans="1:7" x14ac:dyDescent="0.25">
      <c r="A6" s="11">
        <v>4</v>
      </c>
      <c r="B6" s="12" t="s">
        <v>213</v>
      </c>
      <c r="C6" s="12" t="s">
        <v>214</v>
      </c>
      <c r="D6" s="11">
        <v>25</v>
      </c>
      <c r="E6" s="11">
        <v>25</v>
      </c>
      <c r="F6" s="29">
        <f>E6/D6</f>
      </c>
      <c r="G6" s="12" t="s">
        <v>215</v>
      </c>
    </row>
  </sheetData>
  <mergeCells count="1">
    <mergeCell ref="A1:G1"/>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
  <sheetViews>
    <sheetView workbookViewId="0">
      <pane ySplit="2" topLeftCell="A3" activePane="bottomLeft" state="frozen"/>
      <selection pane="bottomLeft"/>
    </sheetView>
  </sheetViews>
  <sheetFormatPr defaultRowHeight="15" outlineLevelRow="0" outlineLevelCol="0" x14ac:dyDescent="55"/>
  <cols>
    <col min="1" max="1" width="6" customWidth="1"/>
    <col min="2" max="2" width="22" customWidth="1"/>
    <col min="3" max="3" width="12" customWidth="1"/>
    <col min="4" max="4" width="14" customWidth="1"/>
    <col min="5" max="5" width="18" customWidth="1"/>
    <col min="6" max="6" width="14" customWidth="1"/>
    <col min="7" max="7" width="12" customWidth="1"/>
    <col min="8" max="8" width="14" customWidth="1"/>
    <col min="9" max="9" width="16" customWidth="1"/>
    <col min="10" max="13" width="14" customWidth="1"/>
    <col min="14" max="15" width="16" customWidth="1"/>
    <col min="16" max="16" width="10" customWidth="1"/>
  </cols>
  <sheetData>
    <row r="1" ht="32" customHeight="1" spans="1:16" x14ac:dyDescent="0.25">
      <c r="A1" s="4" t="s">
        <v>216</v>
      </c>
      <c r="B1" s="4"/>
      <c r="C1" s="4"/>
      <c r="D1" s="4"/>
      <c r="E1" s="4"/>
      <c r="F1" s="4"/>
      <c r="G1" s="4"/>
      <c r="H1" s="4"/>
      <c r="I1" s="4"/>
      <c r="J1" s="4"/>
      <c r="K1" s="4"/>
      <c r="L1" s="4"/>
      <c r="M1" s="4"/>
      <c r="N1" s="4"/>
      <c r="O1" s="4"/>
      <c r="P1" s="4"/>
    </row>
    <row r="2" ht="28" customHeight="1" spans="1:16" x14ac:dyDescent="0.25">
      <c r="A2" s="5" t="s">
        <v>18</v>
      </c>
      <c r="B2" s="5" t="s">
        <v>217</v>
      </c>
      <c r="C2" s="5" t="s">
        <v>218</v>
      </c>
      <c r="D2" s="5" t="s">
        <v>219</v>
      </c>
      <c r="E2" s="5" t="s">
        <v>79</v>
      </c>
      <c r="F2" s="5" t="s">
        <v>220</v>
      </c>
      <c r="G2" s="5" t="s">
        <v>221</v>
      </c>
      <c r="H2" s="5" t="s">
        <v>222</v>
      </c>
      <c r="I2" s="5" t="s">
        <v>223</v>
      </c>
      <c r="J2" s="5" t="s">
        <v>224</v>
      </c>
      <c r="K2" s="5" t="s">
        <v>225</v>
      </c>
      <c r="L2" s="5" t="s">
        <v>226</v>
      </c>
      <c r="M2" s="5" t="s">
        <v>227</v>
      </c>
      <c r="N2" s="5" t="s">
        <v>228</v>
      </c>
      <c r="O2" s="5" t="s">
        <v>229</v>
      </c>
      <c r="P2" s="5" t="s">
        <v>230</v>
      </c>
    </row>
    <row r="3" ht="22" customHeight="1" spans="1:16" x14ac:dyDescent="0.25">
      <c r="A3" s="11">
        <v>1</v>
      </c>
      <c r="B3" s="12" t="s">
        <v>231</v>
      </c>
      <c r="C3" s="11" t="s">
        <v>232</v>
      </c>
      <c r="D3" s="11" t="s">
        <v>136</v>
      </c>
      <c r="E3" s="12" t="s">
        <v>85</v>
      </c>
      <c r="F3" s="11">
        <v>25</v>
      </c>
      <c r="G3" s="11">
        <v>9.8</v>
      </c>
      <c r="H3" s="11">
        <v>245</v>
      </c>
      <c r="I3" s="11">
        <v>0.45</v>
      </c>
      <c r="J3" s="11">
        <v>0.5</v>
      </c>
      <c r="K3" s="11">
        <v>1.2</v>
      </c>
      <c r="L3" s="11">
        <v>0.4</v>
      </c>
      <c r="M3" s="11">
        <v>25</v>
      </c>
      <c r="N3" s="11">
        <v>6</v>
      </c>
      <c r="O3" s="11">
        <v>6</v>
      </c>
      <c r="P3" s="11">
        <v>8</v>
      </c>
    </row>
    <row r="4" ht="22" customHeight="1" spans="1:16" x14ac:dyDescent="0.25">
      <c r="A4" s="11">
        <v>2</v>
      </c>
      <c r="B4" s="12" t="s">
        <v>233</v>
      </c>
      <c r="C4" s="11" t="s">
        <v>234</v>
      </c>
      <c r="D4" s="11" t="s">
        <v>136</v>
      </c>
      <c r="E4" s="12" t="s">
        <v>86</v>
      </c>
      <c r="F4" s="11">
        <v>35</v>
      </c>
      <c r="G4" s="11">
        <v>9.5</v>
      </c>
      <c r="H4" s="11">
        <v>332.5</v>
      </c>
      <c r="I4" s="11">
        <v>0.35</v>
      </c>
      <c r="J4" s="11">
        <v>0.45</v>
      </c>
      <c r="K4" s="11">
        <v>0.95</v>
      </c>
      <c r="L4" s="11">
        <v>0.3</v>
      </c>
      <c r="M4" s="11">
        <v>35</v>
      </c>
      <c r="N4" s="11">
        <v>12</v>
      </c>
      <c r="O4" s="11">
        <v>12</v>
      </c>
      <c r="P4" s="11">
        <v>8</v>
      </c>
    </row>
    <row r="5" ht="22" customHeight="1" spans="1:16" x14ac:dyDescent="0.25">
      <c r="A5" s="11">
        <v>3</v>
      </c>
      <c r="B5" s="12" t="s">
        <v>235</v>
      </c>
      <c r="C5" s="11" t="s">
        <v>236</v>
      </c>
      <c r="D5" s="11" t="s">
        <v>136</v>
      </c>
      <c r="E5" s="12" t="s">
        <v>88</v>
      </c>
      <c r="F5" s="11">
        <v>30</v>
      </c>
      <c r="G5" s="11">
        <v>9.7</v>
      </c>
      <c r="H5" s="11">
        <v>291</v>
      </c>
      <c r="I5" s="11">
        <v>0.4</v>
      </c>
      <c r="J5" s="11">
        <v>0.4</v>
      </c>
      <c r="K5" s="11">
        <v>1.1</v>
      </c>
      <c r="L5" s="11">
        <v>0.35</v>
      </c>
      <c r="M5" s="11">
        <v>30</v>
      </c>
      <c r="N5" s="11">
        <v>8</v>
      </c>
      <c r="O5" s="11">
        <v>8</v>
      </c>
      <c r="P5" s="11">
        <v>8</v>
      </c>
    </row>
    <row r="6" ht="22" customHeight="1" spans="1:16" x14ac:dyDescent="0.25">
      <c r="A6" s="11">
        <v>4</v>
      </c>
      <c r="B6" s="12" t="s">
        <v>237</v>
      </c>
      <c r="C6" s="11" t="s">
        <v>238</v>
      </c>
      <c r="D6" s="11" t="s">
        <v>136</v>
      </c>
      <c r="E6" s="12" t="s">
        <v>87</v>
      </c>
      <c r="F6" s="11">
        <v>28</v>
      </c>
      <c r="G6" s="11">
        <v>9.6</v>
      </c>
      <c r="H6" s="11">
        <v>268.8</v>
      </c>
      <c r="I6" s="11">
        <v>0.5</v>
      </c>
      <c r="J6" s="11">
        <v>0.55</v>
      </c>
      <c r="K6" s="11">
        <v>1.05</v>
      </c>
      <c r="L6" s="11">
        <v>0.45</v>
      </c>
      <c r="M6" s="11">
        <v>28</v>
      </c>
      <c r="N6" s="11">
        <v>9</v>
      </c>
      <c r="O6" s="11">
        <v>9</v>
      </c>
      <c r="P6" s="11">
        <v>8</v>
      </c>
    </row>
  </sheetData>
  <mergeCells count="1">
    <mergeCell ref="A1:P1"/>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pane ySplit="2" topLeftCell="A3" activePane="bottomLeft" state="frozen"/>
      <selection pane="bottomLeft"/>
    </sheetView>
  </sheetViews>
  <sheetFormatPr defaultRowHeight="15" outlineLevelRow="0" outlineLevelCol="0" x14ac:dyDescent="55"/>
  <cols>
    <col min="1" max="1" width="8" customWidth="1"/>
    <col min="2" max="2" width="65" customWidth="1"/>
    <col min="3" max="4" width="18" customWidth="1"/>
    <col min="5" max="5" width="35" customWidth="1"/>
  </cols>
  <sheetData>
    <row r="1" ht="32" customHeight="1" spans="1:5" x14ac:dyDescent="0.25">
      <c r="A1" s="4" t="s">
        <v>239</v>
      </c>
      <c r="B1" s="4"/>
      <c r="C1" s="4"/>
      <c r="D1" s="4"/>
      <c r="E1" s="4"/>
    </row>
    <row r="2" ht="28" customHeight="1" spans="1:5" x14ac:dyDescent="0.25">
      <c r="A2" s="5" t="s">
        <v>18</v>
      </c>
      <c r="B2" s="5" t="s">
        <v>240</v>
      </c>
      <c r="C2" s="5" t="s">
        <v>241</v>
      </c>
      <c r="D2" s="5" t="s">
        <v>242</v>
      </c>
      <c r="E2" s="5" t="s">
        <v>33</v>
      </c>
    </row>
    <row r="3" ht="22" customHeight="1" spans="1:5" x14ac:dyDescent="0.25">
      <c r="A3" s="11">
        <v>1</v>
      </c>
      <c r="B3" s="12" t="s">
        <v>243</v>
      </c>
      <c r="C3" s="29">
        <v>1</v>
      </c>
      <c r="D3" s="29">
        <v>1</v>
      </c>
      <c r="E3" s="12" t="s">
        <v>244</v>
      </c>
    </row>
    <row r="4" ht="22" customHeight="1" spans="1:5" x14ac:dyDescent="0.25">
      <c r="A4" s="11">
        <v>2</v>
      </c>
      <c r="B4" s="12" t="s">
        <v>245</v>
      </c>
      <c r="C4" s="29">
        <v>1</v>
      </c>
      <c r="D4" s="29">
        <v>1</v>
      </c>
      <c r="E4" s="12" t="s">
        <v>246</v>
      </c>
    </row>
    <row r="5" ht="22" customHeight="1" spans="1:5" x14ac:dyDescent="0.25">
      <c r="A5" s="11">
        <v>3</v>
      </c>
      <c r="B5" s="12" t="s">
        <v>247</v>
      </c>
      <c r="C5" s="29">
        <v>1</v>
      </c>
      <c r="D5" s="29">
        <v>0.95</v>
      </c>
      <c r="E5" s="12" t="s">
        <v>248</v>
      </c>
    </row>
    <row r="6" ht="22" customHeight="1" spans="1:5" x14ac:dyDescent="0.25">
      <c r="A6" s="11">
        <v>4</v>
      </c>
      <c r="B6" s="12" t="s">
        <v>249</v>
      </c>
      <c r="C6" s="29">
        <v>1</v>
      </c>
      <c r="D6" s="29">
        <v>0.9</v>
      </c>
      <c r="E6" s="12" t="s">
        <v>250</v>
      </c>
    </row>
    <row r="7" ht="22" customHeight="1" spans="1:5" x14ac:dyDescent="0.25">
      <c r="A7" s="11">
        <v>5</v>
      </c>
      <c r="B7" s="12" t="s">
        <v>251</v>
      </c>
      <c r="C7" s="29">
        <v>1</v>
      </c>
      <c r="D7" s="29">
        <v>1</v>
      </c>
      <c r="E7" s="12" t="s">
        <v>252</v>
      </c>
    </row>
  </sheetData>
  <mergeCells count="1">
    <mergeCell ref="A1:E1"/>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pane ySplit="2" topLeftCell="A3" activePane="bottomLeft" state="frozen"/>
      <selection pane="bottomLeft"/>
    </sheetView>
  </sheetViews>
  <sheetFormatPr defaultRowHeight="15" outlineLevelRow="0" outlineLevelCol="0" x14ac:dyDescent="55"/>
  <cols>
    <col min="1" max="1" width="8" customWidth="1"/>
    <col min="2" max="2" width="50" customWidth="1"/>
    <col min="3" max="5" width="18" customWidth="1"/>
    <col min="6" max="6" width="35" customWidth="1"/>
  </cols>
  <sheetData>
    <row r="1" ht="32" customHeight="1" spans="1:6" x14ac:dyDescent="0.25">
      <c r="A1" s="4" t="s">
        <v>253</v>
      </c>
      <c r="B1" s="4"/>
      <c r="C1" s="4"/>
      <c r="D1" s="4"/>
      <c r="E1" s="4"/>
      <c r="F1" s="4"/>
    </row>
    <row r="2" ht="28" customHeight="1" spans="1:6" x14ac:dyDescent="0.25">
      <c r="A2" s="5" t="s">
        <v>18</v>
      </c>
      <c r="B2" s="5" t="s">
        <v>254</v>
      </c>
      <c r="C2" s="5" t="s">
        <v>157</v>
      </c>
      <c r="D2" s="5" t="s">
        <v>158</v>
      </c>
      <c r="E2" s="5" t="s">
        <v>255</v>
      </c>
      <c r="F2" s="5" t="s">
        <v>33</v>
      </c>
    </row>
    <row r="3" ht="22" customHeight="1" spans="1:6" x14ac:dyDescent="0.25">
      <c r="A3" s="11">
        <v>1</v>
      </c>
      <c r="B3" s="12" t="s">
        <v>256</v>
      </c>
      <c r="C3" s="21">
        <v>20</v>
      </c>
      <c r="D3" s="21">
        <v>18</v>
      </c>
      <c r="E3" s="11" t="s">
        <v>257</v>
      </c>
      <c r="F3" s="12" t="s">
        <v>258</v>
      </c>
    </row>
    <row r="4" ht="22" customHeight="1" spans="1:6" x14ac:dyDescent="0.25">
      <c r="A4" s="11">
        <v>2</v>
      </c>
      <c r="B4" s="12" t="s">
        <v>259</v>
      </c>
      <c r="C4" s="21">
        <v>30</v>
      </c>
      <c r="D4" s="21">
        <v>27</v>
      </c>
      <c r="E4" s="11" t="s">
        <v>257</v>
      </c>
      <c r="F4" s="12" t="s">
        <v>260</v>
      </c>
    </row>
    <row r="5" ht="22" customHeight="1" spans="1:6" x14ac:dyDescent="0.25">
      <c r="A5" s="11">
        <v>3</v>
      </c>
      <c r="B5" s="12" t="s">
        <v>261</v>
      </c>
      <c r="C5" s="21">
        <v>70</v>
      </c>
      <c r="D5" s="21">
        <v>72</v>
      </c>
      <c r="E5" s="11" t="s">
        <v>257</v>
      </c>
      <c r="F5" s="12" t="s">
        <v>262</v>
      </c>
    </row>
    <row r="6" ht="22" customHeight="1" spans="1:6" x14ac:dyDescent="0.25">
      <c r="A6" s="11">
        <v>4</v>
      </c>
      <c r="B6" s="12" t="s">
        <v>263</v>
      </c>
      <c r="C6" s="21">
        <v>120</v>
      </c>
      <c r="D6" s="21">
        <v>115</v>
      </c>
      <c r="E6" s="11" t="s">
        <v>264</v>
      </c>
      <c r="F6" s="12" t="s">
        <v>265</v>
      </c>
    </row>
  </sheetData>
  <mergeCells count="1">
    <mergeCell ref="A1:F1"/>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ySplit="2" topLeftCell="A3" activePane="bottomLeft" state="frozen"/>
      <selection pane="bottomLeft"/>
    </sheetView>
  </sheetViews>
  <sheetFormatPr defaultRowHeight="15" outlineLevelRow="0" outlineLevelCol="0" x14ac:dyDescent="55"/>
  <cols>
    <col min="1" max="1" width="6" customWidth="1"/>
    <col min="2" max="2" width="22" customWidth="1"/>
    <col min="3" max="3" width="20" customWidth="1"/>
    <col min="4" max="4" width="25" customWidth="1"/>
    <col min="5" max="6" width="20" customWidth="1"/>
    <col min="7" max="7" width="22" customWidth="1"/>
    <col min="8" max="8" width="30" customWidth="1"/>
    <col min="9" max="9" width="20" customWidth="1"/>
    <col min="10" max="11" width="18" customWidth="1"/>
    <col min="12" max="12" width="24" customWidth="1"/>
  </cols>
  <sheetData>
    <row r="1" ht="32" customHeight="1" spans="1:12" x14ac:dyDescent="0.25">
      <c r="A1" s="4" t="s">
        <v>266</v>
      </c>
      <c r="B1" s="4"/>
      <c r="C1" s="4"/>
      <c r="D1" s="4"/>
      <c r="E1" s="4"/>
      <c r="F1" s="4"/>
      <c r="G1" s="4"/>
      <c r="H1" s="4"/>
      <c r="I1" s="4"/>
      <c r="J1" s="4"/>
      <c r="K1" s="4"/>
      <c r="L1" s="4"/>
    </row>
    <row r="2" ht="28" customHeight="1" spans="1:12" x14ac:dyDescent="0.25">
      <c r="A2" s="5" t="s">
        <v>18</v>
      </c>
      <c r="B2" s="5" t="s">
        <v>267</v>
      </c>
      <c r="C2" s="5" t="s">
        <v>268</v>
      </c>
      <c r="D2" s="5" t="s">
        <v>269</v>
      </c>
      <c r="E2" s="5" t="s">
        <v>270</v>
      </c>
      <c r="F2" s="5" t="s">
        <v>271</v>
      </c>
      <c r="G2" s="5" t="s">
        <v>272</v>
      </c>
      <c r="H2" s="5" t="s">
        <v>273</v>
      </c>
      <c r="I2" s="5" t="s">
        <v>274</v>
      </c>
      <c r="J2" s="5" t="s">
        <v>275</v>
      </c>
      <c r="K2" s="5" t="s">
        <v>276</v>
      </c>
      <c r="L2" s="5" t="s">
        <v>277</v>
      </c>
    </row>
    <row r="3" ht="22" customHeight="1" spans="1:12" x14ac:dyDescent="0.25">
      <c r="A3" s="11">
        <v>1</v>
      </c>
      <c r="B3" s="12" t="s">
        <v>278</v>
      </c>
      <c r="C3" s="12" t="s">
        <v>85</v>
      </c>
      <c r="D3" s="12" t="s">
        <v>279</v>
      </c>
      <c r="E3" s="11">
        <v>0</v>
      </c>
      <c r="F3" s="11">
        <v>2</v>
      </c>
      <c r="G3" s="12" t="s">
        <v>280</v>
      </c>
      <c r="H3" s="12" t="s">
        <v>281</v>
      </c>
      <c r="I3" s="12" t="s">
        <v>282</v>
      </c>
      <c r="J3" s="11">
        <v>8</v>
      </c>
      <c r="K3" s="11">
        <v>2</v>
      </c>
      <c r="L3" s="21">
        <v>65000000</v>
      </c>
    </row>
    <row r="4" ht="22" customHeight="1" spans="1:12" x14ac:dyDescent="0.25">
      <c r="A4" s="11">
        <v>2</v>
      </c>
      <c r="B4" s="12" t="s">
        <v>283</v>
      </c>
      <c r="C4" s="12" t="s">
        <v>87</v>
      </c>
      <c r="D4" s="12" t="s">
        <v>284</v>
      </c>
      <c r="E4" s="11">
        <v>0</v>
      </c>
      <c r="F4" s="11">
        <v>1</v>
      </c>
      <c r="G4" s="12" t="s">
        <v>285</v>
      </c>
      <c r="H4" s="12" t="s">
        <v>286</v>
      </c>
      <c r="I4" s="12" t="s">
        <v>287</v>
      </c>
      <c r="J4" s="11">
        <v>4</v>
      </c>
      <c r="K4" s="11">
        <v>1</v>
      </c>
      <c r="L4" s="21">
        <v>35000000</v>
      </c>
    </row>
    <row r="5" ht="22" customHeight="1" spans="1:12" x14ac:dyDescent="0.25">
      <c r="A5" s="11">
        <v>3</v>
      </c>
      <c r="B5" s="12" t="s">
        <v>288</v>
      </c>
      <c r="C5" s="12" t="s">
        <v>86</v>
      </c>
      <c r="D5" s="12" t="s">
        <v>289</v>
      </c>
      <c r="E5" s="11">
        <v>1</v>
      </c>
      <c r="F5" s="11">
        <v>1</v>
      </c>
      <c r="G5" s="12" t="s">
        <v>290</v>
      </c>
      <c r="H5" s="12" t="s">
        <v>291</v>
      </c>
      <c r="I5" s="12" t="s">
        <v>292</v>
      </c>
      <c r="J5" s="11">
        <v>6</v>
      </c>
      <c r="K5" s="11">
        <v>2</v>
      </c>
      <c r="L5" s="21">
        <v>58000000</v>
      </c>
    </row>
  </sheetData>
  <mergeCells count="1">
    <mergeCell ref="A1:L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00_Huong_Dan</vt:lpstr>
      <vt:lpstr>DOANH SỐ VÀ LÃI GỘP</vt:lpstr>
      <vt:lpstr>Công nợ</vt:lpstr>
      <vt:lpstr>Khách hàng</vt:lpstr>
      <vt:lpstr>Tồn kho</vt:lpstr>
      <vt:lpstr>Nhân sự</vt:lpstr>
      <vt:lpstr>Sản Phẩm</vt:lpstr>
      <vt:lpstr>Chi Phí</vt:lpstr>
      <vt:lpstr>ISO</vt:lpstr>
      <vt:lpstr>Đào tạo</vt:lpstr>
      <vt:lpstr>Dịch vụ tận tâm</vt:lpstr>
      <vt:lpstr>Văn hóa doanh nghiệp</vt:lpstr>
      <vt:lpstr>Thương hiệu</vt:lpstr>
      <vt:lpstr>Dự án &amp; KH Dự án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VPS Group</dc:creator>
  <dc:title/>
  <dc:subject/>
  <dc:description/>
  <cp:keywords/>
  <cp:category/>
  <cp:lastModifiedBy>VPS Group</cp:lastModifiedBy>
  <dcterms:created xsi:type="dcterms:W3CDTF">2026-10-04T02:45:23Z</dcterms:created>
  <dcterms:modified xsi:type="dcterms:W3CDTF">2026-10-04T02:45:23Z</dcterms:modified>
</cp:coreProperties>
</file>