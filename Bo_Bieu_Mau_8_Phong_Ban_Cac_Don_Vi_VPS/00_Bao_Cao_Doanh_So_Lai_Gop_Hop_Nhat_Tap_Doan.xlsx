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<sst xmlns="http://schemas.openxmlformats.org/spreadsheetml/2006/main" count="423" uniqueCount="171">
  <si>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</si>
  <si>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</si>
  <si>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</si>
  <si>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</si>
  <si>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</si>
  <si>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</si>
  <si>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</si>
  <si>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</si>
  <si>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</si>
  <si>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</si>
  <si>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</si>
  <si>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</si>
  <si>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</si>
  <si>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</si>
  <si>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</si>
  <si>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</si>
  <si>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</si>
  <si>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</si>
  <si>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</si>
  <si>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</si>
  <si>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</si>
  <si>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</si>
  <si>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</si>
  <si>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</si>
  <si>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HỢP NHẤT TOÀN TẬP ĐOÀN VPS (ALL)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</si>
  <si>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</si>
  <si>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</si>
  <si>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</si>
  <si>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</si>
  <si>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</si>
  <si>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</si>
  <si>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</si>
  <si>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</si>
  <si>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</si>
  <si>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</si>
  <si>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</si>
  <si>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</si>
  <si>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</si>
  <si>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</si>
  <si>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</si>
  <si>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</si>
  <si>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</si>
  <si>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</si>
  <si>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</si>
  <si>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</si>
  <si>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[THH] Kinh doanh bán buôn</t>
  </si>
  <si>
    <t>Phân phối đại lý miền Bắc</t>
  </si>
  <si>
    <t xml:space="preserve">    • [XemSon] Kinh doanh bán buôn (KD Sỉ)</t>
  </si>
  <si>
    <t>Phân phối đại lý miền Nam</t>
  </si>
  <si>
    <t xml:space="preserve">    • [VPSM] Kinh doanh máy - bán buôn</t>
  </si>
  <si>
    <t>Bán buôn máy VPS Miền Trung</t>
  </si>
  <si>
    <t xml:space="preserve">    • [VPSM] Kinh doanh linh kiện - bán buôn</t>
  </si>
  <si>
    <t>Bán buôn linh kiện mực in</t>
  </si>
  <si>
    <t>THUÊ MÁY</t>
  </si>
  <si>
    <t>Thuê máy kỹ thuật &amp; KD thuê máy</t>
  </si>
  <si>
    <t xml:space="preserve">    • [THH] Thuê máy Tân Hồng Hà</t>
  </si>
  <si>
    <t>Cho thuê máy photocopy miền Bắc</t>
  </si>
  <si>
    <t xml:space="preserve">    • [Viet] Thuê máy Công ty Việt</t>
  </si>
  <si>
    <t>Cho thuê máy Công ty Việt</t>
  </si>
  <si>
    <t xml:space="preserve">    • [XemSon] Kỹ thuật thuê máy (KT)</t>
  </si>
  <si>
    <t>Máy thuê kỹ thuật Xesco</t>
  </si>
  <si>
    <t xml:space="preserve">    • [XemSon] KD Thuê máy (Thương mại)</t>
  </si>
  <si>
    <t>Hợp đồng thuê máy mới</t>
  </si>
  <si>
    <t xml:space="preserve">    • [VPSM] Thuê máy Miền Trung</t>
  </si>
  <si>
    <t>Thuê máy khu vực miền Trung</t>
  </si>
  <si>
    <t>DỊCH VỤ</t>
  </si>
  <si>
    <t>DVKT, Tổ dịch vụ, mực in, metercharge</t>
  </si>
  <si>
    <t xml:space="preserve">    • [THH] Tổ Dịch vụ THH</t>
  </si>
  <si>
    <t>Bảo trì bảo dưỡng sửa chữa</t>
  </si>
  <si>
    <t xml:space="preserve">    • [THH] Tổ mực in THH</t>
  </si>
  <si>
    <t>Cung cấp thay thế mực in</t>
  </si>
  <si>
    <t xml:space="preserve">    • [THH] Metercharge THH</t>
  </si>
  <si>
    <t>Dịch vụ thu phí bản in chụp</t>
  </si>
  <si>
    <t xml:space="preserve">    • [XemSon] Dịch vụ kỹ thuật Xem Sơn</t>
  </si>
  <si>
    <t>Kỹ thuật dịch vụ máy VP</t>
  </si>
  <si>
    <t xml:space="preserve">    • [XemSon] Metercharge Xem Sơn</t>
  </si>
  <si>
    <t>Dịch vụ Metercharge Xesco</t>
  </si>
  <si>
    <t xml:space="preserve">    • [VPSM] Dịch vụ kỹ thuật VPSM</t>
  </si>
  <si>
    <t>Bảo trì sửa chữa máy</t>
  </si>
  <si>
    <t xml:space="preserve">    • [VPSM] Dịch vụ toàn phần VPSM</t>
  </si>
  <si>
    <t>Hợp đồng bảo trì trọn gói</t>
  </si>
  <si>
    <t>KINH DOANH ONLINE</t>
  </si>
  <si>
    <t>E-commerce, Shopee-Online, trực tuyến</t>
  </si>
  <si>
    <t xml:space="preserve">    • [THH] Kinh doanh Online THH</t>
  </si>
  <si>
    <t>Bán hàng trực tuyến</t>
  </si>
  <si>
    <t xml:space="preserve">    • [Viet] KD Online Việt</t>
  </si>
  <si>
    <t>Kênh online sàn TMĐT</t>
  </si>
  <si>
    <t xml:space="preserve">    • [XemSon] KD Online Xem Sơn</t>
  </si>
  <si>
    <t>Thương mại điện tử Xesco</t>
  </si>
  <si>
    <t xml:space="preserve">    • [VPSM] Shopee-Online VPSM</t>
  </si>
  <si>
    <t>Gian hàng Shopee Miền Trung</t>
  </si>
  <si>
    <t>DỰ ÁN</t>
  </si>
  <si>
    <t>Dự án văn phòng, CNTT, thiết bị</t>
  </si>
  <si>
    <t xml:space="preserve">    • [THH] Dự án Tân Hồng Hà</t>
  </si>
  <si>
    <t>Dự án thầu thiết bị miền Bắc</t>
  </si>
  <si>
    <t xml:space="preserve">    • [XemSon] Dự án Xesco</t>
  </si>
  <si>
    <t>Gói thầu thiết bị miền Nam</t>
  </si>
  <si>
    <t xml:space="preserve">    • [ITSS] Dự án CNTT ITSS</t>
  </si>
  <si>
    <t>Giải pháp phần mềm và mạng</t>
  </si>
  <si>
    <t>KINH DOANH TỔNG HỢP</t>
  </si>
  <si>
    <t>Kinh doanh tổng hợp thương mại</t>
  </si>
  <si>
    <t xml:space="preserve">    • [THH] Kinh doanh tổng hợp THH</t>
  </si>
  <si>
    <t>Thương mại tổng hợp</t>
  </si>
  <si>
    <t xml:space="preserve">    • [Viet] KDTH Công ty Việt</t>
  </si>
  <si>
    <t>Kinh doanh tổng hợp</t>
  </si>
  <si>
    <t xml:space="preserve">    • [XemSon] Kinh doanh tổng hợp Xem Sơn</t>
  </si>
  <si>
    <t>KINH DOANH LẺ</t>
  </si>
  <si>
    <t>Cửa hàng, bán máy lẻ, showroom</t>
  </si>
  <si>
    <t xml:space="preserve">    • [Viet] Cửa hàng Việt</t>
  </si>
  <si>
    <t>Bán lẻ tại điểm bán</t>
  </si>
  <si>
    <t xml:space="preserve">    • [XemSon] Bán máy lẻ Xem Sơn</t>
  </si>
  <si>
    <t>Bán lẻ thiết bị văn phòng</t>
  </si>
  <si>
    <t xml:space="preserve">    • [VPSM] Bán lẻ VPS Miền Trung</t>
  </si>
  <si>
    <t>Bán lẻ tại showroom</t>
  </si>
  <si>
    <t>KINH DOANH KHÁC</t>
  </si>
  <si>
    <t>Bán nội bộ, thương mại khác, xuất khẩu</t>
  </si>
  <si>
    <t xml:space="preserve">    • [Viet] Bán nội bộ Việt</t>
  </si>
  <si>
    <t>Hoạt động nội bộ</t>
  </si>
  <si>
    <t xml:space="preserve">    • [VPVPS] VP VPS - Hoạt động KD</t>
  </si>
  <si>
    <t>Bán nội bộ, xuất khẩu, thương mại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</si>
  <si>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</si>
  <si>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</si>
  <si>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</si>
  <si>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</si>
  <si>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</si>
  <si>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</si>
  <si>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</si>
  <si>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</si>
  <si>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</si>
  <si>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</si>
  <si>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</si>
  <si>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</si>
  <si>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</si>
  <si>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</si>
  <si>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</si>
  <si>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</si>
  <si>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</si>
  <si>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[THH] Kinh doanh bán buôn</t>
  </si>
  <si>
    <t>DS Kế hoạch</t>
  </si>
  <si>
    <t>DS Thực tế</t>
  </si>
  <si>
    <t>Lãi gộp Thực tế</t>
  </si>
  <si>
    <t>[XemSon] Kinh doanh bán buôn (KD Sỉ)</t>
  </si>
  <si>
    <t>[VPSM] Kinh doanh máy - bán buôn</t>
  </si>
  <si>
    <t>[VPSM] Kinh doanh linh kiện - bán buôn</t>
  </si>
  <si>
    <t>[THH] Thuê máy Tân Hồng Hà</t>
  </si>
  <si>
    <t>[Viet] Thuê máy Công ty Việt</t>
  </si>
  <si>
    <t>[XemSon] Kỹ thuật thuê máy (KT)</t>
  </si>
  <si>
    <t>[XemSon] KD Thuê máy (Thương mại)</t>
  </si>
  <si>
    <t>[VPSM] Thuê máy Miền Trung</t>
  </si>
  <si>
    <t>[THH] Tổ Dịch vụ THH</t>
  </si>
  <si>
    <t>[THH] Tổ mực in THH</t>
  </si>
  <si>
    <t>[THH] Metercharge THH</t>
  </si>
  <si>
    <t>[XemSon] Dịch vụ kỹ thuật Xem Sơn</t>
  </si>
  <si>
    <t>[XemSon] Metercharge Xem Sơn</t>
  </si>
  <si>
    <t>[VPSM] Dịch vụ kỹ thuật VPSM</t>
  </si>
  <si>
    <t>[VPSM] Dịch vụ toàn phần VPSM</t>
  </si>
  <si>
    <t>[THH] Kinh doanh Online THH</t>
  </si>
  <si>
    <t>[Viet] KD Online Việt</t>
  </si>
  <si>
    <t>[XemSon] KD Online Xem Sơn</t>
  </si>
  <si>
    <t>[VPSM] Shopee-Online VPSM</t>
  </si>
  <si>
    <t>[THH] Dự án Tân Hồng Hà</t>
  </si>
  <si>
    <t>[XemSon] Dự án Xesco</t>
  </si>
  <si>
    <t>[ITSS] Dự án CNTT ITSS</t>
  </si>
  <si>
    <t>[THH] Kinh doanh tổng hợp THH</t>
  </si>
  <si>
    <t>[Viet] KDTH Công ty Việt</t>
  </si>
  <si>
    <t>[XemSon] Kinh doanh tổng hợp Xem Sơn</t>
  </si>
  <si>
    <t>[Viet] Cửa hàng Việt</t>
  </si>
  <si>
    <t>[XemSon] Bán máy lẻ Xem Sơn</t>
  </si>
  <si>
    <t>[VPSM] Bán lẻ VPS Miền Trung</t>
  </si>
  <si>
    <t>[Viet] Bán nội bộ Việt</t>
  </si>
  <si>
    <t>[VPVPS] VP VPS - Hoạt động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</si>
</sst>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4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SUM(C7:C10)</f>
      </c>
      <c r="D6" s="11">
        <f>SUM(D7:D10)</f>
      </c>
      <c r="E6" s="12">
        <f>IF(C6=0, 0, D6/C6)</f>
      </c>
      <c r="F6" s="11">
        <f>SUM(F7:F10)</f>
      </c>
      <c r="G6" s="11">
        <f>SUM(G7:G10)</f>
      </c>
      <c r="H6" s="12">
        <f>IF(F6=0, 0, G6/F6)</f>
      </c>
      <c r="I6" s="12">
        <f>IF(D6=0, 0, G6/D6)</f>
      </c>
      <c r="J6" s="11">
        <f>SUM(J7:J10)</f>
      </c>
      <c r="K6" s="11">
        <f>SUM(K7:K10)</f>
      </c>
      <c r="L6" s="12">
        <f>IF(J6=0, 0, K6/J6)</f>
      </c>
      <c r="M6" s="11">
        <f>SUM(M7:M10)</f>
      </c>
      <c r="N6" s="11">
        <f>SUM(N7:N10)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3750</v>
      </c>
      <c r="D7" s="16">
        <v>5135</v>
      </c>
      <c r="E7" s="17">
        <f>IF(C7=0, 0, D7/C7)</f>
      </c>
      <c r="F7" s="16">
        <v>375</v>
      </c>
      <c r="G7" s="16">
        <v>572</v>
      </c>
      <c r="H7" s="17">
        <f>IF(F7=0, 0, G7/F7)</f>
      </c>
      <c r="I7" s="17">
        <f>IF(D7=0, 0, G7/D7)</f>
      </c>
      <c r="J7" s="16">
        <v>45000</v>
      </c>
      <c r="K7" s="16">
        <v>29250</v>
      </c>
      <c r="L7" s="17">
        <f>IF(J7=0, 0, K7/J7)</f>
      </c>
      <c r="M7" s="16">
        <v>4500</v>
      </c>
      <c r="N7" s="16">
        <v>2790</v>
      </c>
      <c r="O7" s="17">
        <f>IF(M7=0, 0, N7/M7)</f>
      </c>
      <c r="P7" s="17">
        <f>IF(K7=0, 0, N7/K7)</f>
      </c>
      <c r="Q7" s="14" t="s">
        <v>46</v>
      </c>
    </row>
    <row r="8" ht="22" customHeight="1" spans="1:17" x14ac:dyDescent="0.25">
      <c r="A8" s="14" t="s">
        <v>2</v>
      </c>
      <c r="B8" s="15" t="s">
        <v>47</v>
      </c>
      <c r="C8" s="16">
        <v>5500</v>
      </c>
      <c r="D8" s="16">
        <v>4169</v>
      </c>
      <c r="E8" s="17">
        <f>IF(C8=0, 0, D8/C8)</f>
      </c>
      <c r="F8" s="16">
        <v>525</v>
      </c>
      <c r="G8" s="16">
        <v>682</v>
      </c>
      <c r="H8" s="17">
        <f>IF(F8=0, 0, G8/F8)</f>
      </c>
      <c r="I8" s="17">
        <f>IF(D8=0, 0, G8/D8)</f>
      </c>
      <c r="J8" s="16">
        <v>66000</v>
      </c>
      <c r="K8" s="16">
        <v>42900</v>
      </c>
      <c r="L8" s="17">
        <f>IF(J8=0, 0, K8/J8)</f>
      </c>
      <c r="M8" s="16">
        <v>6300</v>
      </c>
      <c r="N8" s="16">
        <v>3906</v>
      </c>
      <c r="O8" s="17">
        <f>IF(M8=0, 0, N8/M8)</f>
      </c>
      <c r="P8" s="17">
        <f>IF(K8=0, 0, N8/K8)</f>
      </c>
      <c r="Q8" s="14" t="s">
        <v>48</v>
      </c>
    </row>
    <row r="9" ht="22" customHeight="1" spans="1:17" x14ac:dyDescent="0.25">
      <c r="A9" s="14" t="s">
        <v>2</v>
      </c>
      <c r="B9" s="15" t="s">
        <v>49</v>
      </c>
      <c r="C9" s="16">
        <v>833</v>
      </c>
      <c r="D9" s="16">
        <v>810</v>
      </c>
      <c r="E9" s="17">
        <f>IF(C9=0, 0, D9/C9)</f>
      </c>
      <c r="F9" s="16">
        <v>75</v>
      </c>
      <c r="G9" s="16">
        <v>45</v>
      </c>
      <c r="H9" s="17">
        <f>IF(F9=0, 0, G9/F9)</f>
      </c>
      <c r="I9" s="17">
        <f>IF(D9=0, 0, G9/D9)</f>
      </c>
      <c r="J9" s="16">
        <v>10000</v>
      </c>
      <c r="K9" s="16">
        <v>6500</v>
      </c>
      <c r="L9" s="17">
        <f>IF(J9=0, 0, K9/J9)</f>
      </c>
      <c r="M9" s="16">
        <v>900</v>
      </c>
      <c r="N9" s="16">
        <v>558</v>
      </c>
      <c r="O9" s="17">
        <f>IF(M9=0, 0, N9/M9)</f>
      </c>
      <c r="P9" s="17">
        <f>IF(K9=0, 0, N9/K9)</f>
      </c>
      <c r="Q9" s="14" t="s">
        <v>50</v>
      </c>
    </row>
    <row r="10" ht="22" customHeight="1" spans="1:17" x14ac:dyDescent="0.25">
      <c r="A10" s="14" t="s">
        <v>2</v>
      </c>
      <c r="B10" s="15" t="s">
        <v>51</v>
      </c>
      <c r="C10" s="16">
        <v>292</v>
      </c>
      <c r="D10" s="16">
        <v>240</v>
      </c>
      <c r="E10" s="17">
        <f>IF(C10=0, 0, D10/C10)</f>
      </c>
      <c r="F10" s="16">
        <v>38</v>
      </c>
      <c r="G10" s="16">
        <v>22</v>
      </c>
      <c r="H10" s="17">
        <f>IF(F10=0, 0, G10/F10)</f>
      </c>
      <c r="I10" s="17">
        <f>IF(D10=0, 0, G10/D10)</f>
      </c>
      <c r="J10" s="16">
        <v>3500</v>
      </c>
      <c r="K10" s="16">
        <v>2275</v>
      </c>
      <c r="L10" s="17">
        <f>IF(J10=0, 0, K10/J10)</f>
      </c>
      <c r="M10" s="16">
        <v>450</v>
      </c>
      <c r="N10" s="16">
        <v>279</v>
      </c>
      <c r="O10" s="17">
        <f>IF(M10=0, 0, N10/M10)</f>
      </c>
      <c r="P10" s="17">
        <f>IF(K10=0, 0, N10/K10)</f>
      </c>
      <c r="Q10" s="14" t="s">
        <v>52</v>
      </c>
    </row>
    <row r="11" ht="26" customHeight="1" spans="1:17" x14ac:dyDescent="0.25">
      <c r="A11" s="9">
        <v>2</v>
      </c>
      <c r="B11" s="10" t="s">
        <v>53</v>
      </c>
      <c r="C11" s="11">
        <f>SUM(C12:C16)</f>
      </c>
      <c r="D11" s="11">
        <f>SUM(D12:D16)</f>
      </c>
      <c r="E11" s="12">
        <f>IF(C11=0, 0, D11/C11)</f>
      </c>
      <c r="F11" s="11">
        <f>SUM(F12:F16)</f>
      </c>
      <c r="G11" s="11">
        <f>SUM(G12:G16)</f>
      </c>
      <c r="H11" s="12">
        <f>IF(F11=0, 0, G11/F11)</f>
      </c>
      <c r="I11" s="12">
        <f>IF(D11=0, 0, G11/D11)</f>
      </c>
      <c r="J11" s="11">
        <f>SUM(J12:J16)</f>
      </c>
      <c r="K11" s="11">
        <f>SUM(K12:K16)</f>
      </c>
      <c r="L11" s="12">
        <f>IF(J11=0, 0, K11/J11)</f>
      </c>
      <c r="M11" s="11">
        <f>SUM(M12:M16)</f>
      </c>
      <c r="N11" s="11">
        <f>SUM(N12:N16)</f>
      </c>
      <c r="O11" s="12">
        <f>IF(M11=0, 0, N11/M11)</f>
      </c>
      <c r="P11" s="12">
        <f>IF(K11=0, 0, N11/K11)</f>
      </c>
      <c r="Q11" s="13" t="s">
        <v>54</v>
      </c>
    </row>
    <row r="12" ht="22" customHeight="1" spans="1:17" x14ac:dyDescent="0.25">
      <c r="A12" s="14" t="s">
        <v>2</v>
      </c>
      <c r="B12" s="15" t="s">
        <v>55</v>
      </c>
      <c r="C12" s="16">
        <v>583</v>
      </c>
      <c r="D12" s="16">
        <v>650</v>
      </c>
      <c r="E12" s="17">
        <f>IF(C12=0, 0, D12/C12)</f>
      </c>
      <c r="F12" s="16">
        <v>204</v>
      </c>
      <c r="G12" s="16">
        <v>233</v>
      </c>
      <c r="H12" s="17">
        <f>IF(F12=0, 0, G12/F12)</f>
      </c>
      <c r="I12" s="17">
        <f>IF(D12=0, 0, G12/D12)</f>
      </c>
      <c r="J12" s="16">
        <v>7000</v>
      </c>
      <c r="K12" s="16">
        <v>4550</v>
      </c>
      <c r="L12" s="17">
        <f>IF(J12=0, 0, K12/J12)</f>
      </c>
      <c r="M12" s="16">
        <v>2450</v>
      </c>
      <c r="N12" s="16">
        <v>1519</v>
      </c>
      <c r="O12" s="17">
        <f>IF(M12=0, 0, N12/M12)</f>
      </c>
      <c r="P12" s="17">
        <f>IF(K12=0, 0, N12/K12)</f>
      </c>
      <c r="Q12" s="14" t="s">
        <v>56</v>
      </c>
    </row>
    <row r="13" ht="22" customHeight="1" spans="1:17" x14ac:dyDescent="0.25">
      <c r="A13" s="14" t="s">
        <v>2</v>
      </c>
      <c r="B13" s="15" t="s">
        <v>57</v>
      </c>
      <c r="C13" s="16">
        <v>1542</v>
      </c>
      <c r="D13" s="16">
        <v>1546</v>
      </c>
      <c r="E13" s="17">
        <f>IF(C13=0, 0, D13/C13)</f>
      </c>
      <c r="F13" s="16">
        <v>894</v>
      </c>
      <c r="G13" s="16">
        <v>910</v>
      </c>
      <c r="H13" s="17">
        <f>IF(F13=0, 0, G13/F13)</f>
      </c>
      <c r="I13" s="17">
        <f>IF(D13=0, 0, G13/D13)</f>
      </c>
      <c r="J13" s="16">
        <v>18500</v>
      </c>
      <c r="K13" s="16">
        <v>12025</v>
      </c>
      <c r="L13" s="17">
        <f>IF(J13=0, 0, K13/J13)</f>
      </c>
      <c r="M13" s="16">
        <v>10730</v>
      </c>
      <c r="N13" s="16">
        <v>6653</v>
      </c>
      <c r="O13" s="17">
        <f>IF(M13=0, 0, N13/M13)</f>
      </c>
      <c r="P13" s="17">
        <f>IF(K13=0, 0, N13/K13)</f>
      </c>
      <c r="Q13" s="14" t="s">
        <v>58</v>
      </c>
    </row>
    <row r="14" ht="22" customHeight="1" spans="1:17" x14ac:dyDescent="0.25">
      <c r="A14" s="14" t="s">
        <v>2</v>
      </c>
      <c r="B14" s="15" t="s">
        <v>59</v>
      </c>
      <c r="C14" s="16">
        <v>2000</v>
      </c>
      <c r="D14" s="16">
        <v>1427</v>
      </c>
      <c r="E14" s="17">
        <f>IF(C14=0, 0, D14/C14)</f>
      </c>
      <c r="F14" s="16">
        <v>1213</v>
      </c>
      <c r="G14" s="16">
        <v>918</v>
      </c>
      <c r="H14" s="17">
        <f>IF(F14=0, 0, G14/F14)</f>
      </c>
      <c r="I14" s="17">
        <f>IF(D14=0, 0, G14/D14)</f>
      </c>
      <c r="J14" s="16">
        <v>24000</v>
      </c>
      <c r="K14" s="16">
        <v>15600</v>
      </c>
      <c r="L14" s="17">
        <f>IF(J14=0, 0, K14/J14)</f>
      </c>
      <c r="M14" s="16">
        <v>14560</v>
      </c>
      <c r="N14" s="16">
        <v>9027</v>
      </c>
      <c r="O14" s="17">
        <f>IF(M14=0, 0, N14/M14)</f>
      </c>
      <c r="P14" s="17">
        <f>IF(K14=0, 0, N14/K14)</f>
      </c>
      <c r="Q14" s="14" t="s">
        <v>60</v>
      </c>
    </row>
    <row r="15" ht="22" customHeight="1" spans="1:17" x14ac:dyDescent="0.25">
      <c r="A15" s="14" t="s">
        <v>2</v>
      </c>
      <c r="B15" s="15" t="s">
        <v>61</v>
      </c>
      <c r="C15" s="16">
        <v>1500</v>
      </c>
      <c r="D15" s="16">
        <v>381</v>
      </c>
      <c r="E15" s="17">
        <f>IF(C15=0, 0, D15/C15)</f>
      </c>
      <c r="F15" s="16">
        <v>910</v>
      </c>
      <c r="G15" s="16">
        <v>249</v>
      </c>
      <c r="H15" s="17">
        <f>IF(F15=0, 0, G15/F15)</f>
      </c>
      <c r="I15" s="17">
        <f>IF(D15=0, 0, G15/D15)</f>
      </c>
      <c r="J15" s="16">
        <v>18000</v>
      </c>
      <c r="K15" s="16">
        <v>11700</v>
      </c>
      <c r="L15" s="17">
        <f>IF(J15=0, 0, K15/J15)</f>
      </c>
      <c r="M15" s="16">
        <v>10920</v>
      </c>
      <c r="N15" s="16">
        <v>6770</v>
      </c>
      <c r="O15" s="17">
        <f>IF(M15=0, 0, N15/M15)</f>
      </c>
      <c r="P15" s="17">
        <f>IF(K15=0, 0, N15/K15)</f>
      </c>
      <c r="Q15" s="14" t="s">
        <v>62</v>
      </c>
    </row>
    <row r="16" ht="22" customHeight="1" spans="1:17" x14ac:dyDescent="0.25">
      <c r="A16" s="14" t="s">
        <v>2</v>
      </c>
      <c r="B16" s="15" t="s">
        <v>63</v>
      </c>
      <c r="C16" s="16">
        <v>100</v>
      </c>
      <c r="D16" s="16">
        <v>80</v>
      </c>
      <c r="E16" s="17">
        <f>IF(C16=0, 0, D16/C16)</f>
      </c>
      <c r="F16" s="16">
        <v>65</v>
      </c>
      <c r="G16" s="16">
        <v>20</v>
      </c>
      <c r="H16" s="17">
        <f>IF(F16=0, 0, G16/F16)</f>
      </c>
      <c r="I16" s="17">
        <f>IF(D16=0, 0, G16/D16)</f>
      </c>
      <c r="J16" s="16">
        <v>1200</v>
      </c>
      <c r="K16" s="16">
        <v>780</v>
      </c>
      <c r="L16" s="17">
        <f>IF(J16=0, 0, K16/J16)</f>
      </c>
      <c r="M16" s="16">
        <v>780</v>
      </c>
      <c r="N16" s="16">
        <v>484</v>
      </c>
      <c r="O16" s="17">
        <f>IF(M16=0, 0, N16/M16)</f>
      </c>
      <c r="P16" s="17">
        <f>IF(K16=0, 0, N16/K16)</f>
      </c>
      <c r="Q16" s="14" t="s">
        <v>64</v>
      </c>
    </row>
    <row r="17" ht="26" customHeight="1" spans="1:17" x14ac:dyDescent="0.25">
      <c r="A17" s="9">
        <v>3</v>
      </c>
      <c r="B17" s="10" t="s">
        <v>65</v>
      </c>
      <c r="C17" s="11">
        <f>SUM(C18:C24)</f>
      </c>
      <c r="D17" s="11">
        <f>SUM(D18:D24)</f>
      </c>
      <c r="E17" s="12">
        <f>IF(C17=0, 0, D17/C17)</f>
      </c>
      <c r="F17" s="11">
        <f>SUM(F18:F24)</f>
      </c>
      <c r="G17" s="11">
        <f>SUM(G18:G24)</f>
      </c>
      <c r="H17" s="12">
        <f>IF(F17=0, 0, G17/F17)</f>
      </c>
      <c r="I17" s="12">
        <f>IF(D17=0, 0, G17/D17)</f>
      </c>
      <c r="J17" s="11">
        <f>SUM(J18:J24)</f>
      </c>
      <c r="K17" s="11">
        <f>SUM(K18:K24)</f>
      </c>
      <c r="L17" s="12">
        <f>IF(J17=0, 0, K17/J17)</f>
      </c>
      <c r="M17" s="11">
        <f>SUM(M18:M24)</f>
      </c>
      <c r="N17" s="11">
        <f>SUM(N18:N24)</f>
      </c>
      <c r="O17" s="12">
        <f>IF(M17=0, 0, N17/M17)</f>
      </c>
      <c r="P17" s="12">
        <f>IF(K17=0, 0, N17/K17)</f>
      </c>
      <c r="Q17" s="13" t="s">
        <v>66</v>
      </c>
    </row>
    <row r="18" ht="22" customHeight="1" spans="1:17" x14ac:dyDescent="0.25">
      <c r="A18" s="14" t="s">
        <v>2</v>
      </c>
      <c r="B18" s="15" t="s">
        <v>67</v>
      </c>
      <c r="C18" s="16">
        <v>1167</v>
      </c>
      <c r="D18" s="16">
        <v>959</v>
      </c>
      <c r="E18" s="17">
        <f>IF(C18=0, 0, D18/C18)</f>
      </c>
      <c r="F18" s="16">
        <v>443</v>
      </c>
      <c r="G18" s="16">
        <v>281</v>
      </c>
      <c r="H18" s="17">
        <f>IF(F18=0, 0, G18/F18)</f>
      </c>
      <c r="I18" s="17">
        <f>IF(D18=0, 0, G18/D18)</f>
      </c>
      <c r="J18" s="16">
        <v>14000</v>
      </c>
      <c r="K18" s="16">
        <v>9100</v>
      </c>
      <c r="L18" s="17">
        <f>IF(J18=0, 0, K18/J18)</f>
      </c>
      <c r="M18" s="16">
        <v>5320</v>
      </c>
      <c r="N18" s="16">
        <v>3298</v>
      </c>
      <c r="O18" s="17">
        <f>IF(M18=0, 0, N18/M18)</f>
      </c>
      <c r="P18" s="17">
        <f>IF(K18=0, 0, N18/K18)</f>
      </c>
      <c r="Q18" s="14" t="s">
        <v>68</v>
      </c>
    </row>
    <row r="19" ht="22" customHeight="1" spans="1:17" x14ac:dyDescent="0.25">
      <c r="A19" s="14" t="s">
        <v>2</v>
      </c>
      <c r="B19" s="15" t="s">
        <v>69</v>
      </c>
      <c r="C19" s="16">
        <v>292</v>
      </c>
      <c r="D19" s="16">
        <v>354</v>
      </c>
      <c r="E19" s="17">
        <f>IF(C19=0, 0, D19/C19)</f>
      </c>
      <c r="F19" s="16">
        <v>123</v>
      </c>
      <c r="G19" s="16">
        <v>196</v>
      </c>
      <c r="H19" s="17">
        <f>IF(F19=0, 0, G19/F19)</f>
      </c>
      <c r="I19" s="17">
        <f>IF(D19=0, 0, G19/D19)</f>
      </c>
      <c r="J19" s="16">
        <v>3500</v>
      </c>
      <c r="K19" s="16">
        <v>2275</v>
      </c>
      <c r="L19" s="17">
        <f>IF(J19=0, 0, K19/J19)</f>
      </c>
      <c r="M19" s="16">
        <v>1470</v>
      </c>
      <c r="N19" s="16">
        <v>911</v>
      </c>
      <c r="O19" s="17">
        <f>IF(M19=0, 0, N19/M19)</f>
      </c>
      <c r="P19" s="17">
        <f>IF(K19=0, 0, N19/K19)</f>
      </c>
      <c r="Q19" s="14" t="s">
        <v>70</v>
      </c>
    </row>
    <row r="20" ht="22" customHeight="1" spans="1:17" x14ac:dyDescent="0.25">
      <c r="A20" s="14" t="s">
        <v>2</v>
      </c>
      <c r="B20" s="15" t="s">
        <v>71</v>
      </c>
      <c r="C20" s="16">
        <v>208</v>
      </c>
      <c r="D20" s="16">
        <v>233</v>
      </c>
      <c r="E20" s="17">
        <f>IF(C20=0, 0, D20/C20)</f>
      </c>
      <c r="F20" s="16">
        <v>104</v>
      </c>
      <c r="G20" s="16">
        <v>141</v>
      </c>
      <c r="H20" s="17">
        <f>IF(F20=0, 0, G20/F20)</f>
      </c>
      <c r="I20" s="17">
        <f>IF(D20=0, 0, G20/D20)</f>
      </c>
      <c r="J20" s="16">
        <v>2500</v>
      </c>
      <c r="K20" s="16">
        <v>1625</v>
      </c>
      <c r="L20" s="17">
        <f>IF(J20=0, 0, K20/J20)</f>
      </c>
      <c r="M20" s="16">
        <v>1250</v>
      </c>
      <c r="N20" s="16">
        <v>775</v>
      </c>
      <c r="O20" s="17">
        <f>IF(M20=0, 0, N20/M20)</f>
      </c>
      <c r="P20" s="17">
        <f>IF(K20=0, 0, N20/K20)</f>
      </c>
      <c r="Q20" s="14" t="s">
        <v>72</v>
      </c>
    </row>
    <row r="21" ht="22" customHeight="1" spans="1:17" x14ac:dyDescent="0.25">
      <c r="A21" s="14" t="s">
        <v>2</v>
      </c>
      <c r="B21" s="15" t="s">
        <v>73</v>
      </c>
      <c r="C21" s="16">
        <v>1833</v>
      </c>
      <c r="D21" s="16">
        <v>1439</v>
      </c>
      <c r="E21" s="17">
        <f>IF(C21=0, 0, D21/C21)</f>
      </c>
      <c r="F21" s="16">
        <v>605</v>
      </c>
      <c r="G21" s="16">
        <v>574</v>
      </c>
      <c r="H21" s="17">
        <f>IF(F21=0, 0, G21/F21)</f>
      </c>
      <c r="I21" s="17">
        <f>IF(D21=0, 0, G21/D21)</f>
      </c>
      <c r="J21" s="16">
        <v>22000</v>
      </c>
      <c r="K21" s="16">
        <v>14300</v>
      </c>
      <c r="L21" s="17">
        <f>IF(J21=0, 0, K21/J21)</f>
      </c>
      <c r="M21" s="16">
        <v>7260</v>
      </c>
      <c r="N21" s="16">
        <v>4501</v>
      </c>
      <c r="O21" s="17">
        <f>IF(M21=0, 0, N21/M21)</f>
      </c>
      <c r="P21" s="17">
        <f>IF(K21=0, 0, N21/K21)</f>
      </c>
      <c r="Q21" s="14" t="s">
        <v>74</v>
      </c>
    </row>
    <row r="22" ht="22" customHeight="1" spans="1:17" x14ac:dyDescent="0.25">
      <c r="A22" s="14" t="s">
        <v>2</v>
      </c>
      <c r="B22" s="15" t="s">
        <v>75</v>
      </c>
      <c r="C22" s="16">
        <v>333</v>
      </c>
      <c r="D22" s="16">
        <v>278</v>
      </c>
      <c r="E22" s="17">
        <f>IF(C22=0, 0, D22/C22)</f>
      </c>
      <c r="F22" s="16">
        <v>110</v>
      </c>
      <c r="G22" s="16">
        <v>164</v>
      </c>
      <c r="H22" s="17">
        <f>IF(F22=0, 0, G22/F22)</f>
      </c>
      <c r="I22" s="17">
        <f>IF(D22=0, 0, G22/D22)</f>
      </c>
      <c r="J22" s="16">
        <v>4000</v>
      </c>
      <c r="K22" s="16">
        <v>2600</v>
      </c>
      <c r="L22" s="17">
        <f>IF(J22=0, 0, K22/J22)</f>
      </c>
      <c r="M22" s="16">
        <v>1320</v>
      </c>
      <c r="N22" s="16">
        <v>818</v>
      </c>
      <c r="O22" s="17">
        <f>IF(M22=0, 0, N22/M22)</f>
      </c>
      <c r="P22" s="17">
        <f>IF(K22=0, 0, N22/K22)</f>
      </c>
      <c r="Q22" s="14" t="s">
        <v>76</v>
      </c>
    </row>
    <row r="23" ht="22" customHeight="1" spans="1:17" x14ac:dyDescent="0.25">
      <c r="A23" s="14" t="s">
        <v>2</v>
      </c>
      <c r="B23" s="15" t="s">
        <v>77</v>
      </c>
      <c r="C23" s="16">
        <v>225</v>
      </c>
      <c r="D23" s="16">
        <v>220</v>
      </c>
      <c r="E23" s="17">
        <f>IF(C23=0, 0, D23/C23)</f>
      </c>
      <c r="F23" s="16">
        <v>113</v>
      </c>
      <c r="G23" s="16">
        <v>95</v>
      </c>
      <c r="H23" s="17">
        <f>IF(F23=0, 0, G23/F23)</f>
      </c>
      <c r="I23" s="17">
        <f>IF(D23=0, 0, G23/D23)</f>
      </c>
      <c r="J23" s="16">
        <v>2700</v>
      </c>
      <c r="K23" s="16">
        <v>1755</v>
      </c>
      <c r="L23" s="17">
        <f>IF(J23=0, 0, K23/J23)</f>
      </c>
      <c r="M23" s="16">
        <v>1350</v>
      </c>
      <c r="N23" s="16">
        <v>837</v>
      </c>
      <c r="O23" s="17">
        <f>IF(M23=0, 0, N23/M23)</f>
      </c>
      <c r="P23" s="17">
        <f>IF(K23=0, 0, N23/K23)</f>
      </c>
      <c r="Q23" s="14" t="s">
        <v>78</v>
      </c>
    </row>
    <row r="24" ht="22" customHeight="1" spans="1:17" x14ac:dyDescent="0.25">
      <c r="A24" s="14" t="s">
        <v>2</v>
      </c>
      <c r="B24" s="15" t="s">
        <v>79</v>
      </c>
      <c r="C24" s="16">
        <v>67</v>
      </c>
      <c r="D24" s="16">
        <v>60</v>
      </c>
      <c r="E24" s="17">
        <f>IF(C24=0, 0, D24/C24)</f>
      </c>
      <c r="F24" s="16">
        <v>39</v>
      </c>
      <c r="G24" s="16">
        <v>35</v>
      </c>
      <c r="H24" s="17">
        <f>IF(F24=0, 0, G24/F24)</f>
      </c>
      <c r="I24" s="17">
        <f>IF(D24=0, 0, G24/D24)</f>
      </c>
      <c r="J24" s="16">
        <v>800</v>
      </c>
      <c r="K24" s="16">
        <v>520</v>
      </c>
      <c r="L24" s="17">
        <f>IF(J24=0, 0, K24/J24)</f>
      </c>
      <c r="M24" s="16">
        <v>470</v>
      </c>
      <c r="N24" s="16">
        <v>291</v>
      </c>
      <c r="O24" s="17">
        <f>IF(M24=0, 0, N24/M24)</f>
      </c>
      <c r="P24" s="17">
        <f>IF(K24=0, 0, N24/K24)</f>
      </c>
      <c r="Q24" s="14" t="s">
        <v>80</v>
      </c>
    </row>
    <row r="25" ht="26" customHeight="1" spans="1:17" x14ac:dyDescent="0.25">
      <c r="A25" s="9">
        <v>4</v>
      </c>
      <c r="B25" s="10" t="s">
        <v>81</v>
      </c>
      <c r="C25" s="11">
        <f>SUM(C26:C29)</f>
      </c>
      <c r="D25" s="11">
        <f>SUM(D26:D29)</f>
      </c>
      <c r="E25" s="12">
        <f>IF(C25=0, 0, D25/C25)</f>
      </c>
      <c r="F25" s="11">
        <f>SUM(F26:F29)</f>
      </c>
      <c r="G25" s="11">
        <f>SUM(G26:G29)</f>
      </c>
      <c r="H25" s="12">
        <f>IF(F25=0, 0, G25/F25)</f>
      </c>
      <c r="I25" s="12">
        <f>IF(D25=0, 0, G25/D25)</f>
      </c>
      <c r="J25" s="11">
        <f>SUM(J26:J29)</f>
      </c>
      <c r="K25" s="11">
        <f>SUM(K26:K29)</f>
      </c>
      <c r="L25" s="12">
        <f>IF(J25=0, 0, K25/J25)</f>
      </c>
      <c r="M25" s="11">
        <f>SUM(M26:M29)</f>
      </c>
      <c r="N25" s="11">
        <f>SUM(N26:N29)</f>
      </c>
      <c r="O25" s="12">
        <f>IF(M25=0, 0, N25/M25)</f>
      </c>
      <c r="P25" s="12">
        <f>IF(K25=0, 0, N25/K25)</f>
      </c>
      <c r="Q25" s="13" t="s">
        <v>82</v>
      </c>
    </row>
    <row r="26" ht="22" customHeight="1" spans="1:17" x14ac:dyDescent="0.25">
      <c r="A26" s="14" t="s">
        <v>2</v>
      </c>
      <c r="B26" s="15" t="s">
        <v>83</v>
      </c>
      <c r="C26" s="16">
        <v>125</v>
      </c>
      <c r="D26" s="16">
        <v>102</v>
      </c>
      <c r="E26" s="17">
        <f>IF(C26=0, 0, D26/C26)</f>
      </c>
      <c r="F26" s="16">
        <v>6</v>
      </c>
      <c r="G26" s="16">
        <v>0</v>
      </c>
      <c r="H26" s="17">
        <f>IF(F26=0, 0, G26/F26)</f>
      </c>
      <c r="I26" s="17">
        <f>IF(D26=0, 0, G26/D26)</f>
      </c>
      <c r="J26" s="16">
        <v>1500</v>
      </c>
      <c r="K26" s="16">
        <v>975</v>
      </c>
      <c r="L26" s="17">
        <f>IF(J26=0, 0, K26/J26)</f>
      </c>
      <c r="M26" s="16">
        <v>75</v>
      </c>
      <c r="N26" s="16">
        <v>47</v>
      </c>
      <c r="O26" s="17">
        <f>IF(M26=0, 0, N26/M26)</f>
      </c>
      <c r="P26" s="17">
        <f>IF(K26=0, 0, N26/K26)</f>
      </c>
      <c r="Q26" s="14" t="s">
        <v>84</v>
      </c>
    </row>
    <row r="27" ht="22" customHeight="1" spans="1:17" x14ac:dyDescent="0.25">
      <c r="A27" s="14" t="s">
        <v>2</v>
      </c>
      <c r="B27" s="15" t="s">
        <v>85</v>
      </c>
      <c r="C27" s="16">
        <v>2542</v>
      </c>
      <c r="D27" s="16">
        <v>3764</v>
      </c>
      <c r="E27" s="17">
        <f>IF(C27=0, 0, D27/C27)</f>
      </c>
      <c r="F27" s="16">
        <v>153</v>
      </c>
      <c r="G27" s="16">
        <v>241</v>
      </c>
      <c r="H27" s="17">
        <f>IF(F27=0, 0, G27/F27)</f>
      </c>
      <c r="I27" s="17">
        <f>IF(D27=0, 0, G27/D27)</f>
      </c>
      <c r="J27" s="16">
        <v>30500</v>
      </c>
      <c r="K27" s="16">
        <v>19825</v>
      </c>
      <c r="L27" s="17">
        <f>IF(J27=0, 0, K27/J27)</f>
      </c>
      <c r="M27" s="16">
        <v>1830</v>
      </c>
      <c r="N27" s="16">
        <v>1135</v>
      </c>
      <c r="O27" s="17">
        <f>IF(M27=0, 0, N27/M27)</f>
      </c>
      <c r="P27" s="17">
        <f>IF(K27=0, 0, N27/K27)</f>
      </c>
      <c r="Q27" s="14" t="s">
        <v>86</v>
      </c>
    </row>
    <row r="28" ht="22" customHeight="1" spans="1:17" x14ac:dyDescent="0.25">
      <c r="A28" s="14" t="s">
        <v>2</v>
      </c>
      <c r="B28" s="15" t="s">
        <v>87</v>
      </c>
      <c r="C28" s="16">
        <v>2000</v>
      </c>
      <c r="D28" s="16">
        <v>6770</v>
      </c>
      <c r="E28" s="17">
        <f>IF(C28=0, 0, D28/C28)</f>
      </c>
      <c r="F28" s="16">
        <v>100</v>
      </c>
      <c r="G28" s="16">
        <v>244</v>
      </c>
      <c r="H28" s="17">
        <f>IF(F28=0, 0, G28/F28)</f>
      </c>
      <c r="I28" s="17">
        <f>IF(D28=0, 0, G28/D28)</f>
      </c>
      <c r="J28" s="16">
        <v>24000</v>
      </c>
      <c r="K28" s="16">
        <v>15600</v>
      </c>
      <c r="L28" s="17">
        <f>IF(J28=0, 0, K28/J28)</f>
      </c>
      <c r="M28" s="16">
        <v>1200</v>
      </c>
      <c r="N28" s="16">
        <v>744</v>
      </c>
      <c r="O28" s="17">
        <f>IF(M28=0, 0, N28/M28)</f>
      </c>
      <c r="P28" s="17">
        <f>IF(K28=0, 0, N28/K28)</f>
      </c>
      <c r="Q28" s="14" t="s">
        <v>88</v>
      </c>
    </row>
    <row r="29" ht="22" customHeight="1" spans="1:17" x14ac:dyDescent="0.25">
      <c r="A29" s="14" t="s">
        <v>2</v>
      </c>
      <c r="B29" s="15" t="s">
        <v>89</v>
      </c>
      <c r="C29" s="16">
        <v>117</v>
      </c>
      <c r="D29" s="16">
        <v>105</v>
      </c>
      <c r="E29" s="17">
        <f>IF(C29=0, 0, D29/C29)</f>
      </c>
      <c r="F29" s="16">
        <v>7</v>
      </c>
      <c r="G29" s="16">
        <v>3</v>
      </c>
      <c r="H29" s="17">
        <f>IF(F29=0, 0, G29/F29)</f>
      </c>
      <c r="I29" s="17">
        <f>IF(D29=0, 0, G29/D29)</f>
      </c>
      <c r="J29" s="16">
        <v>1400</v>
      </c>
      <c r="K29" s="16">
        <v>910</v>
      </c>
      <c r="L29" s="17">
        <f>IF(J29=0, 0, K29/J29)</f>
      </c>
      <c r="M29" s="16">
        <v>84</v>
      </c>
      <c r="N29" s="16">
        <v>52</v>
      </c>
      <c r="O29" s="17">
        <f>IF(M29=0, 0, N29/M29)</f>
      </c>
      <c r="P29" s="17">
        <f>IF(K29=0, 0, N29/K29)</f>
      </c>
      <c r="Q29" s="14" t="s">
        <v>90</v>
      </c>
    </row>
    <row r="30" ht="26" customHeight="1" spans="1:17" x14ac:dyDescent="0.25">
      <c r="A30" s="9">
        <v>5</v>
      </c>
      <c r="B30" s="10" t="s">
        <v>91</v>
      </c>
      <c r="C30" s="11">
        <f>SUM(C31:C33)</f>
      </c>
      <c r="D30" s="11">
        <f>SUM(D31:D33)</f>
      </c>
      <c r="E30" s="12">
        <f>IF(C30=0, 0, D30/C30)</f>
      </c>
      <c r="F30" s="11">
        <f>SUM(F31:F33)</f>
      </c>
      <c r="G30" s="11">
        <f>SUM(G31:G33)</f>
      </c>
      <c r="H30" s="12">
        <f>IF(F30=0, 0, G30/F30)</f>
      </c>
      <c r="I30" s="12">
        <f>IF(D30=0, 0, G30/D30)</f>
      </c>
      <c r="J30" s="11">
        <f>SUM(J31:J33)</f>
      </c>
      <c r="K30" s="11">
        <f>SUM(K31:K33)</f>
      </c>
      <c r="L30" s="12">
        <f>IF(J30=0, 0, K30/J30)</f>
      </c>
      <c r="M30" s="11">
        <f>SUM(M31:M33)</f>
      </c>
      <c r="N30" s="11">
        <f>SUM(N31:N33)</f>
      </c>
      <c r="O30" s="12">
        <f>IF(M30=0, 0, N30/M30)</f>
      </c>
      <c r="P30" s="12">
        <f>IF(K30=0, 0, N30/K30)</f>
      </c>
      <c r="Q30" s="13" t="s">
        <v>92</v>
      </c>
    </row>
    <row r="31" ht="22" customHeight="1" spans="1:17" x14ac:dyDescent="0.25">
      <c r="A31" s="14" t="s">
        <v>2</v>
      </c>
      <c r="B31" s="15" t="s">
        <v>93</v>
      </c>
      <c r="C31" s="16">
        <v>1833</v>
      </c>
      <c r="D31" s="16">
        <v>1415</v>
      </c>
      <c r="E31" s="17">
        <f>IF(C31=0, 0, D31/C31)</f>
      </c>
      <c r="F31" s="16">
        <v>733</v>
      </c>
      <c r="G31" s="16">
        <v>310</v>
      </c>
      <c r="H31" s="17">
        <f>IF(F31=0, 0, G31/F31)</f>
      </c>
      <c r="I31" s="17">
        <f>IF(D31=0, 0, G31/D31)</f>
      </c>
      <c r="J31" s="16">
        <v>22000</v>
      </c>
      <c r="K31" s="16">
        <v>14300</v>
      </c>
      <c r="L31" s="17">
        <f>IF(J31=0, 0, K31/J31)</f>
      </c>
      <c r="M31" s="16">
        <v>8800</v>
      </c>
      <c r="N31" s="16">
        <v>5456</v>
      </c>
      <c r="O31" s="17">
        <f>IF(M31=0, 0, N31/M31)</f>
      </c>
      <c r="P31" s="17">
        <f>IF(K31=0, 0, N31/K31)</f>
      </c>
      <c r="Q31" s="14" t="s">
        <v>94</v>
      </c>
    </row>
    <row r="32" ht="22" customHeight="1" spans="1:17" x14ac:dyDescent="0.25">
      <c r="A32" s="14" t="s">
        <v>2</v>
      </c>
      <c r="B32" s="15" t="s">
        <v>95</v>
      </c>
      <c r="C32" s="16">
        <v>500</v>
      </c>
      <c r="D32" s="16">
        <v>447</v>
      </c>
      <c r="E32" s="17">
        <f>IF(C32=0, 0, D32/C32)</f>
      </c>
      <c r="F32" s="16">
        <v>180</v>
      </c>
      <c r="G32" s="16">
        <v>161</v>
      </c>
      <c r="H32" s="17">
        <f>IF(F32=0, 0, G32/F32)</f>
      </c>
      <c r="I32" s="17">
        <f>IF(D32=0, 0, G32/D32)</f>
      </c>
      <c r="J32" s="16">
        <v>6000</v>
      </c>
      <c r="K32" s="16">
        <v>3900</v>
      </c>
      <c r="L32" s="17">
        <f>IF(J32=0, 0, K32/J32)</f>
      </c>
      <c r="M32" s="16">
        <v>2160</v>
      </c>
      <c r="N32" s="16">
        <v>1339</v>
      </c>
      <c r="O32" s="17">
        <f>IF(M32=0, 0, N32/M32)</f>
      </c>
      <c r="P32" s="17">
        <f>IF(K32=0, 0, N32/K32)</f>
      </c>
      <c r="Q32" s="14" t="s">
        <v>96</v>
      </c>
    </row>
    <row r="33" ht="22" customHeight="1" spans="1:17" x14ac:dyDescent="0.25">
      <c r="A33" s="14" t="s">
        <v>2</v>
      </c>
      <c r="B33" s="15" t="s">
        <v>97</v>
      </c>
      <c r="C33" s="16">
        <v>458</v>
      </c>
      <c r="D33" s="16">
        <v>640</v>
      </c>
      <c r="E33" s="17">
        <f>IF(C33=0, 0, D33/C33)</f>
      </c>
      <c r="F33" s="16">
        <v>170</v>
      </c>
      <c r="G33" s="16">
        <v>210</v>
      </c>
      <c r="H33" s="17">
        <f>IF(F33=0, 0, G33/F33)</f>
      </c>
      <c r="I33" s="17">
        <f>IF(D33=0, 0, G33/D33)</f>
      </c>
      <c r="J33" s="16">
        <v>5500</v>
      </c>
      <c r="K33" s="16">
        <v>3575</v>
      </c>
      <c r="L33" s="17">
        <f>IF(J33=0, 0, K33/J33)</f>
      </c>
      <c r="M33" s="16">
        <v>2035</v>
      </c>
      <c r="N33" s="16">
        <v>1262</v>
      </c>
      <c r="O33" s="17">
        <f>IF(M33=0, 0, N33/M33)</f>
      </c>
      <c r="P33" s="17">
        <f>IF(K33=0, 0, N33/K33)</f>
      </c>
      <c r="Q33" s="14" t="s">
        <v>98</v>
      </c>
    </row>
    <row r="34" ht="26" customHeight="1" spans="1:17" x14ac:dyDescent="0.25">
      <c r="A34" s="9">
        <v>6</v>
      </c>
      <c r="B34" s="10" t="s">
        <v>99</v>
      </c>
      <c r="C34" s="11">
        <f>SUM(C35:C37)</f>
      </c>
      <c r="D34" s="11">
        <f>SUM(D35:D37)</f>
      </c>
      <c r="E34" s="12">
        <f>IF(C34=0, 0, D34/C34)</f>
      </c>
      <c r="F34" s="11">
        <f>SUM(F35:F37)</f>
      </c>
      <c r="G34" s="11">
        <f>SUM(G35:G37)</f>
      </c>
      <c r="H34" s="12">
        <f>IF(F34=0, 0, G34/F34)</f>
      </c>
      <c r="I34" s="12">
        <f>IF(D34=0, 0, G34/D34)</f>
      </c>
      <c r="J34" s="11">
        <f>SUM(J35:J37)</f>
      </c>
      <c r="K34" s="11">
        <f>SUM(K35:K37)</f>
      </c>
      <c r="L34" s="12">
        <f>IF(J34=0, 0, K34/J34)</f>
      </c>
      <c r="M34" s="11">
        <f>SUM(M35:M37)</f>
      </c>
      <c r="N34" s="11">
        <f>SUM(N35:N37)</f>
      </c>
      <c r="O34" s="12">
        <f>IF(M34=0, 0, N34/M34)</f>
      </c>
      <c r="P34" s="12">
        <f>IF(K34=0, 0, N34/K34)</f>
      </c>
      <c r="Q34" s="13" t="s">
        <v>100</v>
      </c>
    </row>
    <row r="35" ht="22" customHeight="1" spans="1:17" x14ac:dyDescent="0.25">
      <c r="A35" s="14" t="s">
        <v>2</v>
      </c>
      <c r="B35" s="15" t="s">
        <v>101</v>
      </c>
      <c r="C35" s="16">
        <v>1875</v>
      </c>
      <c r="D35" s="16">
        <v>1248</v>
      </c>
      <c r="E35" s="17">
        <f>IF(C35=0, 0, D35/C35)</f>
      </c>
      <c r="F35" s="16">
        <v>188</v>
      </c>
      <c r="G35" s="16">
        <v>177</v>
      </c>
      <c r="H35" s="17">
        <f>IF(F35=0, 0, G35/F35)</f>
      </c>
      <c r="I35" s="17">
        <f>IF(D35=0, 0, G35/D35)</f>
      </c>
      <c r="J35" s="16">
        <v>22500</v>
      </c>
      <c r="K35" s="16">
        <v>14625</v>
      </c>
      <c r="L35" s="17">
        <f>IF(J35=0, 0, K35/J35)</f>
      </c>
      <c r="M35" s="16">
        <v>2250</v>
      </c>
      <c r="N35" s="16">
        <v>1395</v>
      </c>
      <c r="O35" s="17">
        <f>IF(M35=0, 0, N35/M35)</f>
      </c>
      <c r="P35" s="17">
        <f>IF(K35=0, 0, N35/K35)</f>
      </c>
      <c r="Q35" s="14" t="s">
        <v>102</v>
      </c>
    </row>
    <row r="36" ht="22" customHeight="1" spans="1:17" x14ac:dyDescent="0.25">
      <c r="A36" s="14" t="s">
        <v>2</v>
      </c>
      <c r="B36" s="15" t="s">
        <v>103</v>
      </c>
      <c r="C36" s="16">
        <v>1917</v>
      </c>
      <c r="D36" s="16">
        <v>2213</v>
      </c>
      <c r="E36" s="17">
        <f>IF(C36=0, 0, D36/C36)</f>
      </c>
      <c r="F36" s="16">
        <v>153</v>
      </c>
      <c r="G36" s="16">
        <v>166</v>
      </c>
      <c r="H36" s="17">
        <f>IF(F36=0, 0, G36/F36)</f>
      </c>
      <c r="I36" s="17">
        <f>IF(D36=0, 0, G36/D36)</f>
      </c>
      <c r="J36" s="16">
        <v>23000</v>
      </c>
      <c r="K36" s="16">
        <v>14950</v>
      </c>
      <c r="L36" s="17">
        <f>IF(J36=0, 0, K36/J36)</f>
      </c>
      <c r="M36" s="16">
        <v>1840</v>
      </c>
      <c r="N36" s="16">
        <v>1141</v>
      </c>
      <c r="O36" s="17">
        <f>IF(M36=0, 0, N36/M36)</f>
      </c>
      <c r="P36" s="17">
        <f>IF(K36=0, 0, N36/K36)</f>
      </c>
      <c r="Q36" s="14" t="s">
        <v>104</v>
      </c>
    </row>
    <row r="37" ht="22" customHeight="1" spans="1:17" x14ac:dyDescent="0.25">
      <c r="A37" s="14" t="s">
        <v>2</v>
      </c>
      <c r="B37" s="15" t="s">
        <v>105</v>
      </c>
      <c r="C37" s="16">
        <v>0</v>
      </c>
      <c r="D37" s="16">
        <v>0</v>
      </c>
      <c r="E37" s="17">
        <f>IF(C37=0, 0, D37/C37)</f>
      </c>
      <c r="F37" s="16">
        <v>0</v>
      </c>
      <c r="G37" s="16">
        <v>0</v>
      </c>
      <c r="H37" s="17">
        <f>IF(F37=0, 0, G37/F37)</f>
      </c>
      <c r="I37" s="17">
        <f>IF(D37=0, 0, G37/D37)</f>
      </c>
      <c r="J37" s="16">
        <v>0</v>
      </c>
      <c r="K37" s="16">
        <v>0</v>
      </c>
      <c r="L37" s="17">
        <f>IF(J37=0, 0, K37/J37)</f>
      </c>
      <c r="M37" s="16">
        <v>0</v>
      </c>
      <c r="N37" s="16">
        <v>0</v>
      </c>
      <c r="O37" s="17">
        <f>IF(M37=0, 0, N37/M37)</f>
      </c>
      <c r="P37" s="17">
        <f>IF(K37=0, 0, N37/K37)</f>
      </c>
      <c r="Q37" s="14" t="s">
        <v>102</v>
      </c>
    </row>
    <row r="38" ht="26" customHeight="1" spans="1:17" x14ac:dyDescent="0.25">
      <c r="A38" s="9">
        <v>7</v>
      </c>
      <c r="B38" s="10" t="s">
        <v>106</v>
      </c>
      <c r="C38" s="11">
        <f>SUM(C39:C41)</f>
      </c>
      <c r="D38" s="11">
        <f>SUM(D39:D41)</f>
      </c>
      <c r="E38" s="12">
        <f>IF(C38=0, 0, D38/C38)</f>
      </c>
      <c r="F38" s="11">
        <f>SUM(F39:F41)</f>
      </c>
      <c r="G38" s="11">
        <f>SUM(G39:G41)</f>
      </c>
      <c r="H38" s="12">
        <f>IF(F38=0, 0, G38/F38)</f>
      </c>
      <c r="I38" s="12">
        <f>IF(D38=0, 0, G38/D38)</f>
      </c>
      <c r="J38" s="11">
        <f>SUM(J39:J41)</f>
      </c>
      <c r="K38" s="11">
        <f>SUM(K39:K41)</f>
      </c>
      <c r="L38" s="12">
        <f>IF(J38=0, 0, K38/J38)</f>
      </c>
      <c r="M38" s="11">
        <f>SUM(M39:M41)</f>
      </c>
      <c r="N38" s="11">
        <f>SUM(N39:N41)</f>
      </c>
      <c r="O38" s="12">
        <f>IF(M38=0, 0, N38/M38)</f>
      </c>
      <c r="P38" s="12">
        <f>IF(K38=0, 0, N38/K38)</f>
      </c>
      <c r="Q38" s="13" t="s">
        <v>107</v>
      </c>
    </row>
    <row r="39" ht="22" customHeight="1" spans="1:17" x14ac:dyDescent="0.25">
      <c r="A39" s="14" t="s">
        <v>2</v>
      </c>
      <c r="B39" s="15" t="s">
        <v>108</v>
      </c>
      <c r="C39" s="16">
        <v>500</v>
      </c>
      <c r="D39" s="16">
        <v>90.37</v>
      </c>
      <c r="E39" s="17">
        <f>IF(C39=0, 0, D39/C39)</f>
      </c>
      <c r="F39" s="16">
        <v>75</v>
      </c>
      <c r="G39" s="16">
        <v>61.81</v>
      </c>
      <c r="H39" s="17">
        <f>IF(F39=0, 0, G39/F39)</f>
      </c>
      <c r="I39" s="17">
        <f>IF(D39=0, 0, G39/D39)</f>
      </c>
      <c r="J39" s="16">
        <v>6000</v>
      </c>
      <c r="K39" s="16">
        <v>3900</v>
      </c>
      <c r="L39" s="17">
        <f>IF(J39=0, 0, K39/J39)</f>
      </c>
      <c r="M39" s="16">
        <v>900</v>
      </c>
      <c r="N39" s="16">
        <v>558</v>
      </c>
      <c r="O39" s="17">
        <f>IF(M39=0, 0, N39/M39)</f>
      </c>
      <c r="P39" s="17">
        <f>IF(K39=0, 0, N39/K39)</f>
      </c>
      <c r="Q39" s="14" t="s">
        <v>109</v>
      </c>
    </row>
    <row r="40" ht="22" customHeight="1" spans="1:17" x14ac:dyDescent="0.25">
      <c r="A40" s="14" t="s">
        <v>2</v>
      </c>
      <c r="B40" s="15" t="s">
        <v>110</v>
      </c>
      <c r="C40" s="16">
        <v>458</v>
      </c>
      <c r="D40" s="16">
        <v>191</v>
      </c>
      <c r="E40" s="17">
        <f>IF(C40=0, 0, D40/C40)</f>
      </c>
      <c r="F40" s="16">
        <v>105</v>
      </c>
      <c r="G40" s="16">
        <v>49</v>
      </c>
      <c r="H40" s="17">
        <f>IF(F40=0, 0, G40/F40)</f>
      </c>
      <c r="I40" s="17">
        <f>IF(D40=0, 0, G40/D40)</f>
      </c>
      <c r="J40" s="16">
        <v>5500</v>
      </c>
      <c r="K40" s="16">
        <v>3575</v>
      </c>
      <c r="L40" s="17">
        <f>IF(J40=0, 0, K40/J40)</f>
      </c>
      <c r="M40" s="16">
        <v>1265</v>
      </c>
      <c r="N40" s="16">
        <v>784</v>
      </c>
      <c r="O40" s="17">
        <f>IF(M40=0, 0, N40/M40)</f>
      </c>
      <c r="P40" s="17">
        <f>IF(K40=0, 0, N40/K40)</f>
      </c>
      <c r="Q40" s="14" t="s">
        <v>111</v>
      </c>
    </row>
    <row r="41" ht="22" customHeight="1" spans="1:17" x14ac:dyDescent="0.25">
      <c r="A41" s="14" t="s">
        <v>2</v>
      </c>
      <c r="B41" s="15" t="s">
        <v>112</v>
      </c>
      <c r="C41" s="16">
        <v>50</v>
      </c>
      <c r="D41" s="16">
        <v>5</v>
      </c>
      <c r="E41" s="17">
        <f>IF(C41=0, 0, D41/C41)</f>
      </c>
      <c r="F41" s="16">
        <v>9</v>
      </c>
      <c r="G41" s="16">
        <v>1</v>
      </c>
      <c r="H41" s="17">
        <f>IF(F41=0, 0, G41/F41)</f>
      </c>
      <c r="I41" s="17">
        <f>IF(D41=0, 0, G41/D41)</f>
      </c>
      <c r="J41" s="16">
        <v>600</v>
      </c>
      <c r="K41" s="16">
        <v>390</v>
      </c>
      <c r="L41" s="17">
        <f>IF(J41=0, 0, K41/J41)</f>
      </c>
      <c r="M41" s="16">
        <v>108</v>
      </c>
      <c r="N41" s="16">
        <v>67</v>
      </c>
      <c r="O41" s="17">
        <f>IF(M41=0, 0, N41/M41)</f>
      </c>
      <c r="P41" s="17">
        <f>IF(K41=0, 0, N41/K41)</f>
      </c>
      <c r="Q41" s="14" t="s">
        <v>113</v>
      </c>
    </row>
    <row r="42" ht="26" customHeight="1" spans="1:17" x14ac:dyDescent="0.25">
      <c r="A42" s="9">
        <v>8</v>
      </c>
      <c r="B42" s="10" t="s">
        <v>114</v>
      </c>
      <c r="C42" s="11">
        <f>SUM(C43:C44)</f>
      </c>
      <c r="D42" s="11">
        <f>SUM(D43:D44)</f>
      </c>
      <c r="E42" s="12">
        <f>IF(C42=0, 0, D42/C42)</f>
      </c>
      <c r="F42" s="11">
        <f>SUM(F43:F44)</f>
      </c>
      <c r="G42" s="11">
        <f>SUM(G43:G44)</f>
      </c>
      <c r="H42" s="12">
        <f>IF(F42=0, 0, G42/F42)</f>
      </c>
      <c r="I42" s="12">
        <f>IF(D42=0, 0, G42/D42)</f>
      </c>
      <c r="J42" s="11">
        <f>SUM(J43:J44)</f>
      </c>
      <c r="K42" s="11">
        <f>SUM(K43:K44)</f>
      </c>
      <c r="L42" s="12">
        <f>IF(J42=0, 0, K42/J42)</f>
      </c>
      <c r="M42" s="11">
        <f>SUM(M43:M44)</f>
      </c>
      <c r="N42" s="11">
        <f>SUM(N43:N44)</f>
      </c>
      <c r="O42" s="12">
        <f>IF(M42=0, 0, N42/M42)</f>
      </c>
      <c r="P42" s="12">
        <f>IF(K42=0, 0, N42/K42)</f>
      </c>
      <c r="Q42" s="13" t="s">
        <v>115</v>
      </c>
    </row>
    <row r="43" ht="22" customHeight="1" spans="1:17" x14ac:dyDescent="0.25">
      <c r="A43" s="14" t="s">
        <v>2</v>
      </c>
      <c r="B43" s="15" t="s">
        <v>116</v>
      </c>
      <c r="C43" s="16">
        <v>50</v>
      </c>
      <c r="D43" s="16">
        <v>11.1</v>
      </c>
      <c r="E43" s="17">
        <f>IF(C43=0, 0, D43/C43)</f>
      </c>
      <c r="F43" s="16">
        <v>6</v>
      </c>
      <c r="G43" s="16">
        <v>0.13</v>
      </c>
      <c r="H43" s="17">
        <f>IF(F43=0, 0, G43/F43)</f>
      </c>
      <c r="I43" s="17">
        <f>IF(D43=0, 0, G43/D43)</f>
      </c>
      <c r="J43" s="16">
        <v>600</v>
      </c>
      <c r="K43" s="16">
        <v>390</v>
      </c>
      <c r="L43" s="17">
        <f>IF(J43=0, 0, K43/J43)</f>
      </c>
      <c r="M43" s="16">
        <v>75</v>
      </c>
      <c r="N43" s="16">
        <v>47</v>
      </c>
      <c r="O43" s="17">
        <f>IF(M43=0, 0, N43/M43)</f>
      </c>
      <c r="P43" s="17">
        <f>IF(K43=0, 0, N43/K43)</f>
      </c>
      <c r="Q43" s="14" t="s">
        <v>117</v>
      </c>
    </row>
    <row r="44" ht="22" customHeight="1" spans="1:17" x14ac:dyDescent="0.25">
      <c r="A44" s="14" t="s">
        <v>2</v>
      </c>
      <c r="B44" s="15" t="s">
        <v>118</v>
      </c>
      <c r="C44" s="16">
        <v>3000</v>
      </c>
      <c r="D44" s="16">
        <v>7386</v>
      </c>
      <c r="E44" s="17">
        <f>IF(C44=0, 0, D44/C44)</f>
      </c>
      <c r="F44" s="16">
        <v>360</v>
      </c>
      <c r="G44" s="16">
        <v>288</v>
      </c>
      <c r="H44" s="17">
        <f>IF(F44=0, 0, G44/F44)</f>
      </c>
      <c r="I44" s="17">
        <f>IF(D44=0, 0, G44/D44)</f>
      </c>
      <c r="J44" s="16">
        <v>36000</v>
      </c>
      <c r="K44" s="16">
        <v>23400</v>
      </c>
      <c r="L44" s="17">
        <f>IF(J44=0, 0, K44/J44)</f>
      </c>
      <c r="M44" s="16">
        <v>4320</v>
      </c>
      <c r="N44" s="16">
        <v>2678</v>
      </c>
      <c r="O44" s="17">
        <f>IF(M44=0, 0, N44/M44)</f>
      </c>
      <c r="P44" s="17">
        <f>IF(K44=0, 0, N44/K44)</f>
      </c>
      <c r="Q44" s="14" t="s">
        <v>119</v>
      </c>
    </row>
    <row r="45" ht="30" customHeight="1" spans="1:17" x14ac:dyDescent="0.25">
      <c r="A45" s="18" t="s">
        <v>2</v>
      </c>
      <c r="B45" s="19" t="s">
        <v>120</v>
      </c>
      <c r="C45" s="20">
        <f>C6+C11+C17+C25+C30+C34+C38+C42</f>
      </c>
      <c r="D45" s="20">
        <f>D6+D11+D17+D25+D30+D34+D38+D42</f>
      </c>
      <c r="E45" s="21">
        <f>IF(C45=0, 0, D45/C45)</f>
      </c>
      <c r="F45" s="20">
        <f>F6+F11+F17+F25+F30+F34+F38+F42</f>
      </c>
      <c r="G45" s="20">
        <f>G6+G11+G17+G25+G30+G34+G38+G42</f>
      </c>
      <c r="H45" s="21">
        <f>IF(F45=0, 0, G45/F45)</f>
      </c>
      <c r="I45" s="21">
        <f>IF(D45=0, 0, G45/D45)</f>
      </c>
      <c r="J45" s="20">
        <f>J6+J11+J17+J25+J30+J34+J38+J42</f>
      </c>
      <c r="K45" s="20">
        <f>K6+K11+K17+K25+K30+K34+K38+K42</f>
      </c>
      <c r="L45" s="21">
        <f>IF(J45=0, 0, K45/J45)</f>
      </c>
      <c r="M45" s="20">
        <f>M6+M11+M17+M25+M30+M34+M38+M42</f>
      </c>
      <c r="N45" s="20">
        <f>N6+N11+N17+N25+N30+N34+N38+N42</f>
      </c>
      <c r="O45" s="21">
        <f>IF(M45=0, 0, N45/M45)</f>
      </c>
      <c r="P45" s="21">
        <f>IF(K45=0, 0, N45/K45)</f>
      </c>
      <c r="Q45" s="18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121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2" t="s">
        <v>26</v>
      </c>
      <c r="B3" s="22" t="s">
        <v>122</v>
      </c>
      <c r="C3" s="22" t="s">
        <v>123</v>
      </c>
      <c r="D3" s="22" t="s">
        <v>124</v>
      </c>
      <c r="E3" s="22" t="s">
        <v>125</v>
      </c>
      <c r="F3" s="22" t="s">
        <v>126</v>
      </c>
      <c r="G3" s="22" t="s">
        <v>127</v>
      </c>
      <c r="H3" s="22" t="s">
        <v>128</v>
      </c>
      <c r="I3" s="22" t="s">
        <v>129</v>
      </c>
      <c r="J3" s="22" t="s">
        <v>130</v>
      </c>
      <c r="K3" s="22" t="s">
        <v>131</v>
      </c>
      <c r="L3" s="22" t="s">
        <v>132</v>
      </c>
      <c r="M3" s="22" t="s">
        <v>133</v>
      </c>
      <c r="N3" s="22" t="s">
        <v>134</v>
      </c>
      <c r="O3" s="22" t="s">
        <v>135</v>
      </c>
      <c r="P3" s="22" t="s">
        <v>136</v>
      </c>
    </row>
    <row r="4" ht="20" customHeight="1" spans="1:16" x14ac:dyDescent="0.25">
      <c r="A4" s="23">
        <v>1</v>
      </c>
      <c r="B4" s="24" t="s">
        <v>137</v>
      </c>
      <c r="C4" s="14" t="s">
        <v>138</v>
      </c>
      <c r="D4" s="25">
        <v>3750</v>
      </c>
      <c r="E4" s="25">
        <v>3750</v>
      </c>
      <c r="F4" s="25">
        <v>3750</v>
      </c>
      <c r="G4" s="25">
        <v>3750</v>
      </c>
      <c r="H4" s="25">
        <v>3750</v>
      </c>
      <c r="I4" s="25">
        <v>3750</v>
      </c>
      <c r="J4" s="25">
        <v>3750</v>
      </c>
      <c r="K4" s="25">
        <v>3750</v>
      </c>
      <c r="L4" s="25">
        <v>3750</v>
      </c>
      <c r="M4" s="25">
        <v>3750</v>
      </c>
      <c r="N4" s="25">
        <v>3750</v>
      </c>
      <c r="O4" s="25">
        <v>3750</v>
      </c>
      <c r="P4" s="25">
        <f>SUM(D4:O4)</f>
      </c>
    </row>
    <row r="5" ht="20" customHeight="1" spans="1:16" x14ac:dyDescent="0.25">
      <c r="A5" s="26" t="s">
        <v>2</v>
      </c>
      <c r="B5" s="26" t="s">
        <v>2</v>
      </c>
      <c r="C5" s="14" t="s">
        <v>139</v>
      </c>
      <c r="D5" s="25">
        <v>3750</v>
      </c>
      <c r="E5" s="25">
        <v>3750</v>
      </c>
      <c r="F5" s="25">
        <v>3750</v>
      </c>
      <c r="G5" s="25">
        <v>3750</v>
      </c>
      <c r="H5" s="25">
        <v>3750</v>
      </c>
      <c r="I5" s="25">
        <v>3750</v>
      </c>
      <c r="J5" s="25">
        <v>3750</v>
      </c>
      <c r="K5" s="25">
        <v>5135</v>
      </c>
      <c r="L5" s="25">
        <v>0</v>
      </c>
      <c r="M5" s="25">
        <v>0</v>
      </c>
      <c r="N5" s="25">
        <v>0</v>
      </c>
      <c r="O5" s="25">
        <v>0</v>
      </c>
      <c r="P5" s="25">
        <f>SUM(D5:O5)</f>
      </c>
    </row>
    <row r="6" ht="20" customHeight="1" spans="1:16" x14ac:dyDescent="0.25">
      <c r="A6" s="26" t="s">
        <v>2</v>
      </c>
      <c r="B6" s="26" t="s">
        <v>2</v>
      </c>
      <c r="C6" s="14" t="s">
        <v>140</v>
      </c>
      <c r="D6" s="25">
        <v>375</v>
      </c>
      <c r="E6" s="25">
        <v>375</v>
      </c>
      <c r="F6" s="25">
        <v>375</v>
      </c>
      <c r="G6" s="25">
        <v>375</v>
      </c>
      <c r="H6" s="25">
        <v>375</v>
      </c>
      <c r="I6" s="25">
        <v>375</v>
      </c>
      <c r="J6" s="25">
        <v>375</v>
      </c>
      <c r="K6" s="25">
        <v>572</v>
      </c>
      <c r="L6" s="25">
        <v>0</v>
      </c>
      <c r="M6" s="25">
        <v>0</v>
      </c>
      <c r="N6" s="25">
        <v>0</v>
      </c>
      <c r="O6" s="25">
        <v>0</v>
      </c>
      <c r="P6" s="25">
        <f>SUM(D6:O6)</f>
      </c>
    </row>
    <row r="7" ht="20" customHeight="1" spans="1:16" x14ac:dyDescent="0.25">
      <c r="A7" s="23">
        <v>2</v>
      </c>
      <c r="B7" s="24" t="s">
        <v>141</v>
      </c>
      <c r="C7" s="14" t="s">
        <v>138</v>
      </c>
      <c r="D7" s="25">
        <v>5500</v>
      </c>
      <c r="E7" s="25">
        <v>5500</v>
      </c>
      <c r="F7" s="25">
        <v>5500</v>
      </c>
      <c r="G7" s="25">
        <v>5500</v>
      </c>
      <c r="H7" s="25">
        <v>5500</v>
      </c>
      <c r="I7" s="25">
        <v>5500</v>
      </c>
      <c r="J7" s="25">
        <v>5500</v>
      </c>
      <c r="K7" s="25">
        <v>5500</v>
      </c>
      <c r="L7" s="25">
        <v>5500</v>
      </c>
      <c r="M7" s="25">
        <v>5500</v>
      </c>
      <c r="N7" s="25">
        <v>5500</v>
      </c>
      <c r="O7" s="25">
        <v>5500</v>
      </c>
      <c r="P7" s="25">
        <f>SUM(D7:O7)</f>
      </c>
    </row>
    <row r="8" ht="20" customHeight="1" spans="1:16" x14ac:dyDescent="0.25">
      <c r="A8" s="26" t="s">
        <v>2</v>
      </c>
      <c r="B8" s="26" t="s">
        <v>2</v>
      </c>
      <c r="C8" s="14" t="s">
        <v>139</v>
      </c>
      <c r="D8" s="25">
        <v>5500</v>
      </c>
      <c r="E8" s="25">
        <v>5500</v>
      </c>
      <c r="F8" s="25">
        <v>5500</v>
      </c>
      <c r="G8" s="25">
        <v>5500</v>
      </c>
      <c r="H8" s="25">
        <v>5500</v>
      </c>
      <c r="I8" s="25">
        <v>5500</v>
      </c>
      <c r="J8" s="25">
        <v>5500</v>
      </c>
      <c r="K8" s="25">
        <v>4169</v>
      </c>
      <c r="L8" s="25">
        <v>0</v>
      </c>
      <c r="M8" s="25">
        <v>0</v>
      </c>
      <c r="N8" s="25">
        <v>0</v>
      </c>
      <c r="O8" s="25">
        <v>0</v>
      </c>
      <c r="P8" s="25">
        <f>SUM(D8:O8)</f>
      </c>
    </row>
    <row r="9" ht="20" customHeight="1" spans="1:16" x14ac:dyDescent="0.25">
      <c r="A9" s="26" t="s">
        <v>2</v>
      </c>
      <c r="B9" s="26" t="s">
        <v>2</v>
      </c>
      <c r="C9" s="14" t="s">
        <v>140</v>
      </c>
      <c r="D9" s="25">
        <v>525</v>
      </c>
      <c r="E9" s="25">
        <v>525</v>
      </c>
      <c r="F9" s="25">
        <v>525</v>
      </c>
      <c r="G9" s="25">
        <v>525</v>
      </c>
      <c r="H9" s="25">
        <v>525</v>
      </c>
      <c r="I9" s="25">
        <v>525</v>
      </c>
      <c r="J9" s="25">
        <v>525</v>
      </c>
      <c r="K9" s="25">
        <v>682</v>
      </c>
      <c r="L9" s="25">
        <v>0</v>
      </c>
      <c r="M9" s="25">
        <v>0</v>
      </c>
      <c r="N9" s="25">
        <v>0</v>
      </c>
      <c r="O9" s="25">
        <v>0</v>
      </c>
      <c r="P9" s="25">
        <f>SUM(D9:O9)</f>
      </c>
    </row>
    <row r="10" ht="20" customHeight="1" spans="1:16" x14ac:dyDescent="0.25">
      <c r="A10" s="23">
        <v>3</v>
      </c>
      <c r="B10" s="24" t="s">
        <v>142</v>
      </c>
      <c r="C10" s="14" t="s">
        <v>138</v>
      </c>
      <c r="D10" s="25">
        <v>833</v>
      </c>
      <c r="E10" s="25">
        <v>833</v>
      </c>
      <c r="F10" s="25">
        <v>833</v>
      </c>
      <c r="G10" s="25">
        <v>833</v>
      </c>
      <c r="H10" s="25">
        <v>833</v>
      </c>
      <c r="I10" s="25">
        <v>833</v>
      </c>
      <c r="J10" s="25">
        <v>833</v>
      </c>
      <c r="K10" s="25">
        <v>833</v>
      </c>
      <c r="L10" s="25">
        <v>833</v>
      </c>
      <c r="M10" s="25">
        <v>833</v>
      </c>
      <c r="N10" s="25">
        <v>833</v>
      </c>
      <c r="O10" s="25">
        <v>833</v>
      </c>
      <c r="P10" s="25">
        <f>SUM(D10:O10)</f>
      </c>
    </row>
    <row r="11" ht="20" customHeight="1" spans="1:16" x14ac:dyDescent="0.25">
      <c r="A11" s="26" t="s">
        <v>2</v>
      </c>
      <c r="B11" s="26" t="s">
        <v>2</v>
      </c>
      <c r="C11" s="14" t="s">
        <v>139</v>
      </c>
      <c r="D11" s="25">
        <v>833</v>
      </c>
      <c r="E11" s="25">
        <v>833</v>
      </c>
      <c r="F11" s="25">
        <v>833</v>
      </c>
      <c r="G11" s="25">
        <v>833</v>
      </c>
      <c r="H11" s="25">
        <v>833</v>
      </c>
      <c r="I11" s="25">
        <v>833</v>
      </c>
      <c r="J11" s="25">
        <v>833</v>
      </c>
      <c r="K11" s="25">
        <v>810</v>
      </c>
      <c r="L11" s="25">
        <v>0</v>
      </c>
      <c r="M11" s="25">
        <v>0</v>
      </c>
      <c r="N11" s="25">
        <v>0</v>
      </c>
      <c r="O11" s="25">
        <v>0</v>
      </c>
      <c r="P11" s="25">
        <f>SUM(D11:O11)</f>
      </c>
    </row>
    <row r="12" ht="20" customHeight="1" spans="1:16" x14ac:dyDescent="0.25">
      <c r="A12" s="26" t="s">
        <v>2</v>
      </c>
      <c r="B12" s="26" t="s">
        <v>2</v>
      </c>
      <c r="C12" s="14" t="s">
        <v>140</v>
      </c>
      <c r="D12" s="25">
        <v>75</v>
      </c>
      <c r="E12" s="25">
        <v>75</v>
      </c>
      <c r="F12" s="25">
        <v>75</v>
      </c>
      <c r="G12" s="25">
        <v>75</v>
      </c>
      <c r="H12" s="25">
        <v>75</v>
      </c>
      <c r="I12" s="25">
        <v>75</v>
      </c>
      <c r="J12" s="25">
        <v>75</v>
      </c>
      <c r="K12" s="25">
        <v>45</v>
      </c>
      <c r="L12" s="25">
        <v>0</v>
      </c>
      <c r="M12" s="25">
        <v>0</v>
      </c>
      <c r="N12" s="25">
        <v>0</v>
      </c>
      <c r="O12" s="25">
        <v>0</v>
      </c>
      <c r="P12" s="25">
        <f>SUM(D12:O12)</f>
      </c>
    </row>
    <row r="13" ht="20" customHeight="1" spans="1:16" x14ac:dyDescent="0.25">
      <c r="A13" s="23">
        <v>4</v>
      </c>
      <c r="B13" s="24" t="s">
        <v>143</v>
      </c>
      <c r="C13" s="14" t="s">
        <v>138</v>
      </c>
      <c r="D13" s="25">
        <v>292</v>
      </c>
      <c r="E13" s="25">
        <v>292</v>
      </c>
      <c r="F13" s="25">
        <v>292</v>
      </c>
      <c r="G13" s="25">
        <v>292</v>
      </c>
      <c r="H13" s="25">
        <v>292</v>
      </c>
      <c r="I13" s="25">
        <v>292</v>
      </c>
      <c r="J13" s="25">
        <v>292</v>
      </c>
      <c r="K13" s="25">
        <v>292</v>
      </c>
      <c r="L13" s="25">
        <v>292</v>
      </c>
      <c r="M13" s="25">
        <v>292</v>
      </c>
      <c r="N13" s="25">
        <v>292</v>
      </c>
      <c r="O13" s="25">
        <v>292</v>
      </c>
      <c r="P13" s="25">
        <f>SUM(D13:O13)</f>
      </c>
    </row>
    <row r="14" ht="20" customHeight="1" spans="1:16" x14ac:dyDescent="0.25">
      <c r="A14" s="26" t="s">
        <v>2</v>
      </c>
      <c r="B14" s="26" t="s">
        <v>2</v>
      </c>
      <c r="C14" s="14" t="s">
        <v>139</v>
      </c>
      <c r="D14" s="25">
        <v>292</v>
      </c>
      <c r="E14" s="25">
        <v>292</v>
      </c>
      <c r="F14" s="25">
        <v>292</v>
      </c>
      <c r="G14" s="25">
        <v>292</v>
      </c>
      <c r="H14" s="25">
        <v>292</v>
      </c>
      <c r="I14" s="25">
        <v>292</v>
      </c>
      <c r="J14" s="25">
        <v>292</v>
      </c>
      <c r="K14" s="25">
        <v>240</v>
      </c>
      <c r="L14" s="25">
        <v>0</v>
      </c>
      <c r="M14" s="25">
        <v>0</v>
      </c>
      <c r="N14" s="25">
        <v>0</v>
      </c>
      <c r="O14" s="25">
        <v>0</v>
      </c>
      <c r="P14" s="25">
        <f>SUM(D14:O14)</f>
      </c>
    </row>
    <row r="15" ht="20" customHeight="1" spans="1:16" x14ac:dyDescent="0.25">
      <c r="A15" s="26" t="s">
        <v>2</v>
      </c>
      <c r="B15" s="26" t="s">
        <v>2</v>
      </c>
      <c r="C15" s="14" t="s">
        <v>140</v>
      </c>
      <c r="D15" s="25">
        <v>38</v>
      </c>
      <c r="E15" s="25">
        <v>38</v>
      </c>
      <c r="F15" s="25">
        <v>38</v>
      </c>
      <c r="G15" s="25">
        <v>38</v>
      </c>
      <c r="H15" s="25">
        <v>38</v>
      </c>
      <c r="I15" s="25">
        <v>38</v>
      </c>
      <c r="J15" s="25">
        <v>38</v>
      </c>
      <c r="K15" s="25">
        <v>22</v>
      </c>
      <c r="L15" s="25">
        <v>0</v>
      </c>
      <c r="M15" s="25">
        <v>0</v>
      </c>
      <c r="N15" s="25">
        <v>0</v>
      </c>
      <c r="O15" s="25">
        <v>0</v>
      </c>
      <c r="P15" s="25">
        <f>SUM(D15:O15)</f>
      </c>
    </row>
    <row r="16" ht="20" customHeight="1" spans="1:16" x14ac:dyDescent="0.25">
      <c r="A16" s="23">
        <v>5</v>
      </c>
      <c r="B16" s="24" t="s">
        <v>144</v>
      </c>
      <c r="C16" s="14" t="s">
        <v>138</v>
      </c>
      <c r="D16" s="25">
        <v>583</v>
      </c>
      <c r="E16" s="25">
        <v>583</v>
      </c>
      <c r="F16" s="25">
        <v>583</v>
      </c>
      <c r="G16" s="25">
        <v>583</v>
      </c>
      <c r="H16" s="25">
        <v>583</v>
      </c>
      <c r="I16" s="25">
        <v>583</v>
      </c>
      <c r="J16" s="25">
        <v>583</v>
      </c>
      <c r="K16" s="25">
        <v>583</v>
      </c>
      <c r="L16" s="25">
        <v>583</v>
      </c>
      <c r="M16" s="25">
        <v>583</v>
      </c>
      <c r="N16" s="25">
        <v>583</v>
      </c>
      <c r="O16" s="25">
        <v>583</v>
      </c>
      <c r="P16" s="25">
        <f>SUM(D16:O16)</f>
      </c>
    </row>
    <row r="17" ht="20" customHeight="1" spans="1:16" x14ac:dyDescent="0.25">
      <c r="A17" s="26" t="s">
        <v>2</v>
      </c>
      <c r="B17" s="26" t="s">
        <v>2</v>
      </c>
      <c r="C17" s="14" t="s">
        <v>139</v>
      </c>
      <c r="D17" s="25">
        <v>583</v>
      </c>
      <c r="E17" s="25">
        <v>583</v>
      </c>
      <c r="F17" s="25">
        <v>583</v>
      </c>
      <c r="G17" s="25">
        <v>583</v>
      </c>
      <c r="H17" s="25">
        <v>583</v>
      </c>
      <c r="I17" s="25">
        <v>583</v>
      </c>
      <c r="J17" s="25">
        <v>583</v>
      </c>
      <c r="K17" s="25">
        <v>650</v>
      </c>
      <c r="L17" s="25">
        <v>0</v>
      </c>
      <c r="M17" s="25">
        <v>0</v>
      </c>
      <c r="N17" s="25">
        <v>0</v>
      </c>
      <c r="O17" s="25">
        <v>0</v>
      </c>
      <c r="P17" s="25">
        <f>SUM(D17:O17)</f>
      </c>
    </row>
    <row r="18" ht="20" customHeight="1" spans="1:16" x14ac:dyDescent="0.25">
      <c r="A18" s="26" t="s">
        <v>2</v>
      </c>
      <c r="B18" s="26" t="s">
        <v>2</v>
      </c>
      <c r="C18" s="14" t="s">
        <v>140</v>
      </c>
      <c r="D18" s="25">
        <v>204</v>
      </c>
      <c r="E18" s="25">
        <v>204</v>
      </c>
      <c r="F18" s="25">
        <v>204</v>
      </c>
      <c r="G18" s="25">
        <v>204</v>
      </c>
      <c r="H18" s="25">
        <v>204</v>
      </c>
      <c r="I18" s="25">
        <v>204</v>
      </c>
      <c r="J18" s="25">
        <v>204</v>
      </c>
      <c r="K18" s="25">
        <v>233</v>
      </c>
      <c r="L18" s="25">
        <v>0</v>
      </c>
      <c r="M18" s="25">
        <v>0</v>
      </c>
      <c r="N18" s="25">
        <v>0</v>
      </c>
      <c r="O18" s="25">
        <v>0</v>
      </c>
      <c r="P18" s="25">
        <f>SUM(D18:O18)</f>
      </c>
    </row>
    <row r="19" ht="20" customHeight="1" spans="1:16" x14ac:dyDescent="0.25">
      <c r="A19" s="23">
        <v>6</v>
      </c>
      <c r="B19" s="24" t="s">
        <v>145</v>
      </c>
      <c r="C19" s="14" t="s">
        <v>138</v>
      </c>
      <c r="D19" s="25">
        <v>1542</v>
      </c>
      <c r="E19" s="25">
        <v>1542</v>
      </c>
      <c r="F19" s="25">
        <v>1542</v>
      </c>
      <c r="G19" s="25">
        <v>1542</v>
      </c>
      <c r="H19" s="25">
        <v>1542</v>
      </c>
      <c r="I19" s="25">
        <v>1542</v>
      </c>
      <c r="J19" s="25">
        <v>1542</v>
      </c>
      <c r="K19" s="25">
        <v>1542</v>
      </c>
      <c r="L19" s="25">
        <v>1542</v>
      </c>
      <c r="M19" s="25">
        <v>1542</v>
      </c>
      <c r="N19" s="25">
        <v>1542</v>
      </c>
      <c r="O19" s="25">
        <v>1542</v>
      </c>
      <c r="P19" s="25">
        <f>SUM(D19:O19)</f>
      </c>
    </row>
    <row r="20" ht="20" customHeight="1" spans="1:16" x14ac:dyDescent="0.25">
      <c r="A20" s="26" t="s">
        <v>2</v>
      </c>
      <c r="B20" s="26" t="s">
        <v>2</v>
      </c>
      <c r="C20" s="14" t="s">
        <v>139</v>
      </c>
      <c r="D20" s="25">
        <v>1542</v>
      </c>
      <c r="E20" s="25">
        <v>1542</v>
      </c>
      <c r="F20" s="25">
        <v>1542</v>
      </c>
      <c r="G20" s="25">
        <v>1542</v>
      </c>
      <c r="H20" s="25">
        <v>1542</v>
      </c>
      <c r="I20" s="25">
        <v>1542</v>
      </c>
      <c r="J20" s="25">
        <v>1542</v>
      </c>
      <c r="K20" s="25">
        <v>1546</v>
      </c>
      <c r="L20" s="25">
        <v>0</v>
      </c>
      <c r="M20" s="25">
        <v>0</v>
      </c>
      <c r="N20" s="25">
        <v>0</v>
      </c>
      <c r="O20" s="25">
        <v>0</v>
      </c>
      <c r="P20" s="25">
        <f>SUM(D20:O20)</f>
      </c>
    </row>
    <row r="21" ht="20" customHeight="1" spans="1:16" x14ac:dyDescent="0.25">
      <c r="A21" s="26" t="s">
        <v>2</v>
      </c>
      <c r="B21" s="26" t="s">
        <v>2</v>
      </c>
      <c r="C21" s="14" t="s">
        <v>140</v>
      </c>
      <c r="D21" s="25">
        <v>894</v>
      </c>
      <c r="E21" s="25">
        <v>894</v>
      </c>
      <c r="F21" s="25">
        <v>894</v>
      </c>
      <c r="G21" s="25">
        <v>894</v>
      </c>
      <c r="H21" s="25">
        <v>894</v>
      </c>
      <c r="I21" s="25">
        <v>894</v>
      </c>
      <c r="J21" s="25">
        <v>894</v>
      </c>
      <c r="K21" s="25">
        <v>910</v>
      </c>
      <c r="L21" s="25">
        <v>0</v>
      </c>
      <c r="M21" s="25">
        <v>0</v>
      </c>
      <c r="N21" s="25">
        <v>0</v>
      </c>
      <c r="O21" s="25">
        <v>0</v>
      </c>
      <c r="P21" s="25">
        <f>SUM(D21:O21)</f>
      </c>
    </row>
    <row r="22" ht="20" customHeight="1" spans="1:16" x14ac:dyDescent="0.25">
      <c r="A22" s="23">
        <v>7</v>
      </c>
      <c r="B22" s="24" t="s">
        <v>146</v>
      </c>
      <c r="C22" s="14" t="s">
        <v>138</v>
      </c>
      <c r="D22" s="25">
        <v>2000</v>
      </c>
      <c r="E22" s="25">
        <v>2000</v>
      </c>
      <c r="F22" s="25">
        <v>2000</v>
      </c>
      <c r="G22" s="25">
        <v>2000</v>
      </c>
      <c r="H22" s="25">
        <v>2000</v>
      </c>
      <c r="I22" s="25">
        <v>2000</v>
      </c>
      <c r="J22" s="25">
        <v>2000</v>
      </c>
      <c r="K22" s="25">
        <v>2000</v>
      </c>
      <c r="L22" s="25">
        <v>2000</v>
      </c>
      <c r="M22" s="25">
        <v>2000</v>
      </c>
      <c r="N22" s="25">
        <v>2000</v>
      </c>
      <c r="O22" s="25">
        <v>2000</v>
      </c>
      <c r="P22" s="25">
        <f>SUM(D22:O22)</f>
      </c>
    </row>
    <row r="23" ht="20" customHeight="1" spans="1:16" x14ac:dyDescent="0.25">
      <c r="A23" s="26" t="s">
        <v>2</v>
      </c>
      <c r="B23" s="26" t="s">
        <v>2</v>
      </c>
      <c r="C23" s="14" t="s">
        <v>139</v>
      </c>
      <c r="D23" s="25">
        <v>2000</v>
      </c>
      <c r="E23" s="25">
        <v>2000</v>
      </c>
      <c r="F23" s="25">
        <v>2000</v>
      </c>
      <c r="G23" s="25">
        <v>2000</v>
      </c>
      <c r="H23" s="25">
        <v>2000</v>
      </c>
      <c r="I23" s="25">
        <v>2000</v>
      </c>
      <c r="J23" s="25">
        <v>2000</v>
      </c>
      <c r="K23" s="25">
        <v>1427</v>
      </c>
      <c r="L23" s="25">
        <v>0</v>
      </c>
      <c r="M23" s="25">
        <v>0</v>
      </c>
      <c r="N23" s="25">
        <v>0</v>
      </c>
      <c r="O23" s="25">
        <v>0</v>
      </c>
      <c r="P23" s="25">
        <f>SUM(D23:O23)</f>
      </c>
    </row>
    <row r="24" ht="20" customHeight="1" spans="1:16" x14ac:dyDescent="0.25">
      <c r="A24" s="26" t="s">
        <v>2</v>
      </c>
      <c r="B24" s="26" t="s">
        <v>2</v>
      </c>
      <c r="C24" s="14" t="s">
        <v>140</v>
      </c>
      <c r="D24" s="25">
        <v>1213</v>
      </c>
      <c r="E24" s="25">
        <v>1213</v>
      </c>
      <c r="F24" s="25">
        <v>1213</v>
      </c>
      <c r="G24" s="25">
        <v>1213</v>
      </c>
      <c r="H24" s="25">
        <v>1213</v>
      </c>
      <c r="I24" s="25">
        <v>1213</v>
      </c>
      <c r="J24" s="25">
        <v>1213</v>
      </c>
      <c r="K24" s="25">
        <v>918</v>
      </c>
      <c r="L24" s="25">
        <v>0</v>
      </c>
      <c r="M24" s="25">
        <v>0</v>
      </c>
      <c r="N24" s="25">
        <v>0</v>
      </c>
      <c r="O24" s="25">
        <v>0</v>
      </c>
      <c r="P24" s="25">
        <f>SUM(D24:O24)</f>
      </c>
    </row>
    <row r="25" ht="20" customHeight="1" spans="1:16" x14ac:dyDescent="0.25">
      <c r="A25" s="23">
        <v>8</v>
      </c>
      <c r="B25" s="24" t="s">
        <v>147</v>
      </c>
      <c r="C25" s="14" t="s">
        <v>138</v>
      </c>
      <c r="D25" s="25">
        <v>1500</v>
      </c>
      <c r="E25" s="25">
        <v>1500</v>
      </c>
      <c r="F25" s="25">
        <v>1500</v>
      </c>
      <c r="G25" s="25">
        <v>1500</v>
      </c>
      <c r="H25" s="25">
        <v>1500</v>
      </c>
      <c r="I25" s="25">
        <v>1500</v>
      </c>
      <c r="J25" s="25">
        <v>1500</v>
      </c>
      <c r="K25" s="25">
        <v>1500</v>
      </c>
      <c r="L25" s="25">
        <v>1500</v>
      </c>
      <c r="M25" s="25">
        <v>1500</v>
      </c>
      <c r="N25" s="25">
        <v>1500</v>
      </c>
      <c r="O25" s="25">
        <v>1500</v>
      </c>
      <c r="P25" s="25">
        <f>SUM(D25:O25)</f>
      </c>
    </row>
    <row r="26" ht="20" customHeight="1" spans="1:16" x14ac:dyDescent="0.25">
      <c r="A26" s="26" t="s">
        <v>2</v>
      </c>
      <c r="B26" s="26" t="s">
        <v>2</v>
      </c>
      <c r="C26" s="14" t="s">
        <v>139</v>
      </c>
      <c r="D26" s="25">
        <v>1500</v>
      </c>
      <c r="E26" s="25">
        <v>1500</v>
      </c>
      <c r="F26" s="25">
        <v>1500</v>
      </c>
      <c r="G26" s="25">
        <v>1500</v>
      </c>
      <c r="H26" s="25">
        <v>1500</v>
      </c>
      <c r="I26" s="25">
        <v>1500</v>
      </c>
      <c r="J26" s="25">
        <v>1500</v>
      </c>
      <c r="K26" s="25">
        <v>381</v>
      </c>
      <c r="L26" s="25">
        <v>0</v>
      </c>
      <c r="M26" s="25">
        <v>0</v>
      </c>
      <c r="N26" s="25">
        <v>0</v>
      </c>
      <c r="O26" s="25">
        <v>0</v>
      </c>
      <c r="P26" s="25">
        <f>SUM(D26:O26)</f>
      </c>
    </row>
    <row r="27" ht="20" customHeight="1" spans="1:16" x14ac:dyDescent="0.25">
      <c r="A27" s="26" t="s">
        <v>2</v>
      </c>
      <c r="B27" s="26" t="s">
        <v>2</v>
      </c>
      <c r="C27" s="14" t="s">
        <v>140</v>
      </c>
      <c r="D27" s="25">
        <v>910</v>
      </c>
      <c r="E27" s="25">
        <v>910</v>
      </c>
      <c r="F27" s="25">
        <v>910</v>
      </c>
      <c r="G27" s="25">
        <v>910</v>
      </c>
      <c r="H27" s="25">
        <v>910</v>
      </c>
      <c r="I27" s="25">
        <v>910</v>
      </c>
      <c r="J27" s="25">
        <v>910</v>
      </c>
      <c r="K27" s="25">
        <v>249</v>
      </c>
      <c r="L27" s="25">
        <v>0</v>
      </c>
      <c r="M27" s="25">
        <v>0</v>
      </c>
      <c r="N27" s="25">
        <v>0</v>
      </c>
      <c r="O27" s="25">
        <v>0</v>
      </c>
      <c r="P27" s="25">
        <f>SUM(D27:O27)</f>
      </c>
    </row>
    <row r="28" ht="20" customHeight="1" spans="1:16" x14ac:dyDescent="0.25">
      <c r="A28" s="23">
        <v>9</v>
      </c>
      <c r="B28" s="24" t="s">
        <v>148</v>
      </c>
      <c r="C28" s="14" t="s">
        <v>138</v>
      </c>
      <c r="D28" s="25">
        <v>100</v>
      </c>
      <c r="E28" s="25">
        <v>100</v>
      </c>
      <c r="F28" s="25">
        <v>100</v>
      </c>
      <c r="G28" s="25">
        <v>100</v>
      </c>
      <c r="H28" s="25">
        <v>100</v>
      </c>
      <c r="I28" s="25">
        <v>100</v>
      </c>
      <c r="J28" s="25">
        <v>100</v>
      </c>
      <c r="K28" s="25">
        <v>100</v>
      </c>
      <c r="L28" s="25">
        <v>100</v>
      </c>
      <c r="M28" s="25">
        <v>100</v>
      </c>
      <c r="N28" s="25">
        <v>100</v>
      </c>
      <c r="O28" s="25">
        <v>100</v>
      </c>
      <c r="P28" s="25">
        <f>SUM(D28:O28)</f>
      </c>
    </row>
    <row r="29" ht="20" customHeight="1" spans="1:16" x14ac:dyDescent="0.25">
      <c r="A29" s="26" t="s">
        <v>2</v>
      </c>
      <c r="B29" s="26" t="s">
        <v>2</v>
      </c>
      <c r="C29" s="14" t="s">
        <v>139</v>
      </c>
      <c r="D29" s="25">
        <v>100</v>
      </c>
      <c r="E29" s="25">
        <v>100</v>
      </c>
      <c r="F29" s="25">
        <v>100</v>
      </c>
      <c r="G29" s="25">
        <v>100</v>
      </c>
      <c r="H29" s="25">
        <v>100</v>
      </c>
      <c r="I29" s="25">
        <v>100</v>
      </c>
      <c r="J29" s="25">
        <v>100</v>
      </c>
      <c r="K29" s="25">
        <v>80</v>
      </c>
      <c r="L29" s="25">
        <v>0</v>
      </c>
      <c r="M29" s="25">
        <v>0</v>
      </c>
      <c r="N29" s="25">
        <v>0</v>
      </c>
      <c r="O29" s="25">
        <v>0</v>
      </c>
      <c r="P29" s="25">
        <f>SUM(D29:O29)</f>
      </c>
    </row>
    <row r="30" ht="20" customHeight="1" spans="1:16" x14ac:dyDescent="0.25">
      <c r="A30" s="26" t="s">
        <v>2</v>
      </c>
      <c r="B30" s="26" t="s">
        <v>2</v>
      </c>
      <c r="C30" s="14" t="s">
        <v>140</v>
      </c>
      <c r="D30" s="25">
        <v>65</v>
      </c>
      <c r="E30" s="25">
        <v>65</v>
      </c>
      <c r="F30" s="25">
        <v>65</v>
      </c>
      <c r="G30" s="25">
        <v>65</v>
      </c>
      <c r="H30" s="25">
        <v>65</v>
      </c>
      <c r="I30" s="25">
        <v>65</v>
      </c>
      <c r="J30" s="25">
        <v>65</v>
      </c>
      <c r="K30" s="25">
        <v>20</v>
      </c>
      <c r="L30" s="25">
        <v>0</v>
      </c>
      <c r="M30" s="25">
        <v>0</v>
      </c>
      <c r="N30" s="25">
        <v>0</v>
      </c>
      <c r="O30" s="25">
        <v>0</v>
      </c>
      <c r="P30" s="25">
        <f>SUM(D30:O30)</f>
      </c>
    </row>
    <row r="31" ht="20" customHeight="1" spans="1:16" x14ac:dyDescent="0.25">
      <c r="A31" s="23">
        <v>10</v>
      </c>
      <c r="B31" s="24" t="s">
        <v>149</v>
      </c>
      <c r="C31" s="14" t="s">
        <v>138</v>
      </c>
      <c r="D31" s="25">
        <v>1167</v>
      </c>
      <c r="E31" s="25">
        <v>1167</v>
      </c>
      <c r="F31" s="25">
        <v>1167</v>
      </c>
      <c r="G31" s="25">
        <v>1167</v>
      </c>
      <c r="H31" s="25">
        <v>1167</v>
      </c>
      <c r="I31" s="25">
        <v>1167</v>
      </c>
      <c r="J31" s="25">
        <v>1167</v>
      </c>
      <c r="K31" s="25">
        <v>1167</v>
      </c>
      <c r="L31" s="25">
        <v>1167</v>
      </c>
      <c r="M31" s="25">
        <v>1167</v>
      </c>
      <c r="N31" s="25">
        <v>1167</v>
      </c>
      <c r="O31" s="25">
        <v>1167</v>
      </c>
      <c r="P31" s="25">
        <f>SUM(D31:O31)</f>
      </c>
    </row>
    <row r="32" ht="20" customHeight="1" spans="1:16" x14ac:dyDescent="0.25">
      <c r="A32" s="26" t="s">
        <v>2</v>
      </c>
      <c r="B32" s="26" t="s">
        <v>2</v>
      </c>
      <c r="C32" s="14" t="s">
        <v>139</v>
      </c>
      <c r="D32" s="25">
        <v>1167</v>
      </c>
      <c r="E32" s="25">
        <v>1167</v>
      </c>
      <c r="F32" s="25">
        <v>1167</v>
      </c>
      <c r="G32" s="25">
        <v>1167</v>
      </c>
      <c r="H32" s="25">
        <v>1167</v>
      </c>
      <c r="I32" s="25">
        <v>1167</v>
      </c>
      <c r="J32" s="25">
        <v>1167</v>
      </c>
      <c r="K32" s="25">
        <v>959</v>
      </c>
      <c r="L32" s="25">
        <v>0</v>
      </c>
      <c r="M32" s="25">
        <v>0</v>
      </c>
      <c r="N32" s="25">
        <v>0</v>
      </c>
      <c r="O32" s="25">
        <v>0</v>
      </c>
      <c r="P32" s="25">
        <f>SUM(D32:O32)</f>
      </c>
    </row>
    <row r="33" ht="20" customHeight="1" spans="1:16" x14ac:dyDescent="0.25">
      <c r="A33" s="26" t="s">
        <v>2</v>
      </c>
      <c r="B33" s="26" t="s">
        <v>2</v>
      </c>
      <c r="C33" s="14" t="s">
        <v>140</v>
      </c>
      <c r="D33" s="25">
        <v>443</v>
      </c>
      <c r="E33" s="25">
        <v>443</v>
      </c>
      <c r="F33" s="25">
        <v>443</v>
      </c>
      <c r="G33" s="25">
        <v>443</v>
      </c>
      <c r="H33" s="25">
        <v>443</v>
      </c>
      <c r="I33" s="25">
        <v>443</v>
      </c>
      <c r="J33" s="25">
        <v>443</v>
      </c>
      <c r="K33" s="25">
        <v>281</v>
      </c>
      <c r="L33" s="25">
        <v>0</v>
      </c>
      <c r="M33" s="25">
        <v>0</v>
      </c>
      <c r="N33" s="25">
        <v>0</v>
      </c>
      <c r="O33" s="25">
        <v>0</v>
      </c>
      <c r="P33" s="25">
        <f>SUM(D33:O33)</f>
      </c>
    </row>
    <row r="34" ht="20" customHeight="1" spans="1:16" x14ac:dyDescent="0.25">
      <c r="A34" s="23">
        <v>11</v>
      </c>
      <c r="B34" s="24" t="s">
        <v>150</v>
      </c>
      <c r="C34" s="14" t="s">
        <v>138</v>
      </c>
      <c r="D34" s="25">
        <v>292</v>
      </c>
      <c r="E34" s="25">
        <v>292</v>
      </c>
      <c r="F34" s="25">
        <v>292</v>
      </c>
      <c r="G34" s="25">
        <v>292</v>
      </c>
      <c r="H34" s="25">
        <v>292</v>
      </c>
      <c r="I34" s="25">
        <v>292</v>
      </c>
      <c r="J34" s="25">
        <v>292</v>
      </c>
      <c r="K34" s="25">
        <v>292</v>
      </c>
      <c r="L34" s="25">
        <v>292</v>
      </c>
      <c r="M34" s="25">
        <v>292</v>
      </c>
      <c r="N34" s="25">
        <v>292</v>
      </c>
      <c r="O34" s="25">
        <v>292</v>
      </c>
      <c r="P34" s="25">
        <f>SUM(D34:O34)</f>
      </c>
    </row>
    <row r="35" ht="20" customHeight="1" spans="1:16" x14ac:dyDescent="0.25">
      <c r="A35" s="26" t="s">
        <v>2</v>
      </c>
      <c r="B35" s="26" t="s">
        <v>2</v>
      </c>
      <c r="C35" s="14" t="s">
        <v>139</v>
      </c>
      <c r="D35" s="25">
        <v>292</v>
      </c>
      <c r="E35" s="25">
        <v>292</v>
      </c>
      <c r="F35" s="25">
        <v>292</v>
      </c>
      <c r="G35" s="25">
        <v>292</v>
      </c>
      <c r="H35" s="25">
        <v>292</v>
      </c>
      <c r="I35" s="25">
        <v>292</v>
      </c>
      <c r="J35" s="25">
        <v>292</v>
      </c>
      <c r="K35" s="25">
        <v>354</v>
      </c>
      <c r="L35" s="25">
        <v>0</v>
      </c>
      <c r="M35" s="25">
        <v>0</v>
      </c>
      <c r="N35" s="25">
        <v>0</v>
      </c>
      <c r="O35" s="25">
        <v>0</v>
      </c>
      <c r="P35" s="25">
        <f>SUM(D35:O35)</f>
      </c>
    </row>
    <row r="36" ht="20" customHeight="1" spans="1:16" x14ac:dyDescent="0.25">
      <c r="A36" s="26" t="s">
        <v>2</v>
      </c>
      <c r="B36" s="26" t="s">
        <v>2</v>
      </c>
      <c r="C36" s="14" t="s">
        <v>140</v>
      </c>
      <c r="D36" s="25">
        <v>123</v>
      </c>
      <c r="E36" s="25">
        <v>123</v>
      </c>
      <c r="F36" s="25">
        <v>123</v>
      </c>
      <c r="G36" s="25">
        <v>123</v>
      </c>
      <c r="H36" s="25">
        <v>123</v>
      </c>
      <c r="I36" s="25">
        <v>123</v>
      </c>
      <c r="J36" s="25">
        <v>123</v>
      </c>
      <c r="K36" s="25">
        <v>196</v>
      </c>
      <c r="L36" s="25">
        <v>0</v>
      </c>
      <c r="M36" s="25">
        <v>0</v>
      </c>
      <c r="N36" s="25">
        <v>0</v>
      </c>
      <c r="O36" s="25">
        <v>0</v>
      </c>
      <c r="P36" s="25">
        <f>SUM(D36:O36)</f>
      </c>
    </row>
    <row r="37" ht="20" customHeight="1" spans="1:16" x14ac:dyDescent="0.25">
      <c r="A37" s="23">
        <v>12</v>
      </c>
      <c r="B37" s="24" t="s">
        <v>151</v>
      </c>
      <c r="C37" s="14" t="s">
        <v>138</v>
      </c>
      <c r="D37" s="25">
        <v>208</v>
      </c>
      <c r="E37" s="25">
        <v>208</v>
      </c>
      <c r="F37" s="25">
        <v>208</v>
      </c>
      <c r="G37" s="25">
        <v>208</v>
      </c>
      <c r="H37" s="25">
        <v>208</v>
      </c>
      <c r="I37" s="25">
        <v>208</v>
      </c>
      <c r="J37" s="25">
        <v>208</v>
      </c>
      <c r="K37" s="25">
        <v>208</v>
      </c>
      <c r="L37" s="25">
        <v>208</v>
      </c>
      <c r="M37" s="25">
        <v>208</v>
      </c>
      <c r="N37" s="25">
        <v>208</v>
      </c>
      <c r="O37" s="25">
        <v>208</v>
      </c>
      <c r="P37" s="25">
        <f>SUM(D37:O37)</f>
      </c>
    </row>
    <row r="38" ht="20" customHeight="1" spans="1:16" x14ac:dyDescent="0.25">
      <c r="A38" s="26" t="s">
        <v>2</v>
      </c>
      <c r="B38" s="26" t="s">
        <v>2</v>
      </c>
      <c r="C38" s="14" t="s">
        <v>139</v>
      </c>
      <c r="D38" s="25">
        <v>208</v>
      </c>
      <c r="E38" s="25">
        <v>208</v>
      </c>
      <c r="F38" s="25">
        <v>208</v>
      </c>
      <c r="G38" s="25">
        <v>208</v>
      </c>
      <c r="H38" s="25">
        <v>208</v>
      </c>
      <c r="I38" s="25">
        <v>208</v>
      </c>
      <c r="J38" s="25">
        <v>208</v>
      </c>
      <c r="K38" s="25">
        <v>233</v>
      </c>
      <c r="L38" s="25">
        <v>0</v>
      </c>
      <c r="M38" s="25">
        <v>0</v>
      </c>
      <c r="N38" s="25">
        <v>0</v>
      </c>
      <c r="O38" s="25">
        <v>0</v>
      </c>
      <c r="P38" s="25">
        <f>SUM(D38:O38)</f>
      </c>
    </row>
    <row r="39" ht="20" customHeight="1" spans="1:16" x14ac:dyDescent="0.25">
      <c r="A39" s="26" t="s">
        <v>2</v>
      </c>
      <c r="B39" s="26" t="s">
        <v>2</v>
      </c>
      <c r="C39" s="14" t="s">
        <v>140</v>
      </c>
      <c r="D39" s="25">
        <v>104</v>
      </c>
      <c r="E39" s="25">
        <v>104</v>
      </c>
      <c r="F39" s="25">
        <v>104</v>
      </c>
      <c r="G39" s="25">
        <v>104</v>
      </c>
      <c r="H39" s="25">
        <v>104</v>
      </c>
      <c r="I39" s="25">
        <v>104</v>
      </c>
      <c r="J39" s="25">
        <v>104</v>
      </c>
      <c r="K39" s="25">
        <v>141</v>
      </c>
      <c r="L39" s="25">
        <v>0</v>
      </c>
      <c r="M39" s="25">
        <v>0</v>
      </c>
      <c r="N39" s="25">
        <v>0</v>
      </c>
      <c r="O39" s="25">
        <v>0</v>
      </c>
      <c r="P39" s="25">
        <f>SUM(D39:O39)</f>
      </c>
    </row>
    <row r="40" ht="20" customHeight="1" spans="1:16" x14ac:dyDescent="0.25">
      <c r="A40" s="23">
        <v>13</v>
      </c>
      <c r="B40" s="24" t="s">
        <v>152</v>
      </c>
      <c r="C40" s="14" t="s">
        <v>138</v>
      </c>
      <c r="D40" s="25">
        <v>1833</v>
      </c>
      <c r="E40" s="25">
        <v>1833</v>
      </c>
      <c r="F40" s="25">
        <v>1833</v>
      </c>
      <c r="G40" s="25">
        <v>1833</v>
      </c>
      <c r="H40" s="25">
        <v>1833</v>
      </c>
      <c r="I40" s="25">
        <v>1833</v>
      </c>
      <c r="J40" s="25">
        <v>1833</v>
      </c>
      <c r="K40" s="25">
        <v>1833</v>
      </c>
      <c r="L40" s="25">
        <v>1833</v>
      </c>
      <c r="M40" s="25">
        <v>1833</v>
      </c>
      <c r="N40" s="25">
        <v>1833</v>
      </c>
      <c r="O40" s="25">
        <v>1833</v>
      </c>
      <c r="P40" s="25">
        <f>SUM(D40:O40)</f>
      </c>
    </row>
    <row r="41" ht="20" customHeight="1" spans="1:16" x14ac:dyDescent="0.25">
      <c r="A41" s="26" t="s">
        <v>2</v>
      </c>
      <c r="B41" s="26" t="s">
        <v>2</v>
      </c>
      <c r="C41" s="14" t="s">
        <v>139</v>
      </c>
      <c r="D41" s="25">
        <v>1833</v>
      </c>
      <c r="E41" s="25">
        <v>1833</v>
      </c>
      <c r="F41" s="25">
        <v>1833</v>
      </c>
      <c r="G41" s="25">
        <v>1833</v>
      </c>
      <c r="H41" s="25">
        <v>1833</v>
      </c>
      <c r="I41" s="25">
        <v>1833</v>
      </c>
      <c r="J41" s="25">
        <v>1833</v>
      </c>
      <c r="K41" s="25">
        <v>1439</v>
      </c>
      <c r="L41" s="25">
        <v>0</v>
      </c>
      <c r="M41" s="25">
        <v>0</v>
      </c>
      <c r="N41" s="25">
        <v>0</v>
      </c>
      <c r="O41" s="25">
        <v>0</v>
      </c>
      <c r="P41" s="25">
        <f>SUM(D41:O41)</f>
      </c>
    </row>
    <row r="42" ht="20" customHeight="1" spans="1:16" x14ac:dyDescent="0.25">
      <c r="A42" s="26" t="s">
        <v>2</v>
      </c>
      <c r="B42" s="26" t="s">
        <v>2</v>
      </c>
      <c r="C42" s="14" t="s">
        <v>140</v>
      </c>
      <c r="D42" s="25">
        <v>605</v>
      </c>
      <c r="E42" s="25">
        <v>605</v>
      </c>
      <c r="F42" s="25">
        <v>605</v>
      </c>
      <c r="G42" s="25">
        <v>605</v>
      </c>
      <c r="H42" s="25">
        <v>605</v>
      </c>
      <c r="I42" s="25">
        <v>605</v>
      </c>
      <c r="J42" s="25">
        <v>605</v>
      </c>
      <c r="K42" s="25">
        <v>574</v>
      </c>
      <c r="L42" s="25">
        <v>0</v>
      </c>
      <c r="M42" s="25">
        <v>0</v>
      </c>
      <c r="N42" s="25">
        <v>0</v>
      </c>
      <c r="O42" s="25">
        <v>0</v>
      </c>
      <c r="P42" s="25">
        <f>SUM(D42:O42)</f>
      </c>
    </row>
    <row r="43" ht="20" customHeight="1" spans="1:16" x14ac:dyDescent="0.25">
      <c r="A43" s="23">
        <v>14</v>
      </c>
      <c r="B43" s="24" t="s">
        <v>153</v>
      </c>
      <c r="C43" s="14" t="s">
        <v>138</v>
      </c>
      <c r="D43" s="25">
        <v>333</v>
      </c>
      <c r="E43" s="25">
        <v>333</v>
      </c>
      <c r="F43" s="25">
        <v>333</v>
      </c>
      <c r="G43" s="25">
        <v>333</v>
      </c>
      <c r="H43" s="25">
        <v>333</v>
      </c>
      <c r="I43" s="25">
        <v>333</v>
      </c>
      <c r="J43" s="25">
        <v>333</v>
      </c>
      <c r="K43" s="25">
        <v>333</v>
      </c>
      <c r="L43" s="25">
        <v>333</v>
      </c>
      <c r="M43" s="25">
        <v>333</v>
      </c>
      <c r="N43" s="25">
        <v>333</v>
      </c>
      <c r="O43" s="25">
        <v>333</v>
      </c>
      <c r="P43" s="25">
        <f>SUM(D43:O43)</f>
      </c>
    </row>
    <row r="44" ht="20" customHeight="1" spans="1:16" x14ac:dyDescent="0.25">
      <c r="A44" s="26" t="s">
        <v>2</v>
      </c>
      <c r="B44" s="26" t="s">
        <v>2</v>
      </c>
      <c r="C44" s="14" t="s">
        <v>139</v>
      </c>
      <c r="D44" s="25">
        <v>333</v>
      </c>
      <c r="E44" s="25">
        <v>333</v>
      </c>
      <c r="F44" s="25">
        <v>333</v>
      </c>
      <c r="G44" s="25">
        <v>333</v>
      </c>
      <c r="H44" s="25">
        <v>333</v>
      </c>
      <c r="I44" s="25">
        <v>333</v>
      </c>
      <c r="J44" s="25">
        <v>333</v>
      </c>
      <c r="K44" s="25">
        <v>278</v>
      </c>
      <c r="L44" s="25">
        <v>0</v>
      </c>
      <c r="M44" s="25">
        <v>0</v>
      </c>
      <c r="N44" s="25">
        <v>0</v>
      </c>
      <c r="O44" s="25">
        <v>0</v>
      </c>
      <c r="P44" s="25">
        <f>SUM(D44:O44)</f>
      </c>
    </row>
    <row r="45" ht="20" customHeight="1" spans="1:16" x14ac:dyDescent="0.25">
      <c r="A45" s="26" t="s">
        <v>2</v>
      </c>
      <c r="B45" s="26" t="s">
        <v>2</v>
      </c>
      <c r="C45" s="14" t="s">
        <v>140</v>
      </c>
      <c r="D45" s="25">
        <v>110</v>
      </c>
      <c r="E45" s="25">
        <v>110</v>
      </c>
      <c r="F45" s="25">
        <v>110</v>
      </c>
      <c r="G45" s="25">
        <v>110</v>
      </c>
      <c r="H45" s="25">
        <v>110</v>
      </c>
      <c r="I45" s="25">
        <v>110</v>
      </c>
      <c r="J45" s="25">
        <v>110</v>
      </c>
      <c r="K45" s="25">
        <v>164</v>
      </c>
      <c r="L45" s="25">
        <v>0</v>
      </c>
      <c r="M45" s="25">
        <v>0</v>
      </c>
      <c r="N45" s="25">
        <v>0</v>
      </c>
      <c r="O45" s="25">
        <v>0</v>
      </c>
      <c r="P45" s="25">
        <f>SUM(D45:O45)</f>
      </c>
    </row>
    <row r="46" ht="20" customHeight="1" spans="1:16" x14ac:dyDescent="0.25">
      <c r="A46" s="23">
        <v>15</v>
      </c>
      <c r="B46" s="24" t="s">
        <v>154</v>
      </c>
      <c r="C46" s="14" t="s">
        <v>138</v>
      </c>
      <c r="D46" s="25">
        <v>225</v>
      </c>
      <c r="E46" s="25">
        <v>225</v>
      </c>
      <c r="F46" s="25">
        <v>225</v>
      </c>
      <c r="G46" s="25">
        <v>225</v>
      </c>
      <c r="H46" s="25">
        <v>225</v>
      </c>
      <c r="I46" s="25">
        <v>225</v>
      </c>
      <c r="J46" s="25">
        <v>225</v>
      </c>
      <c r="K46" s="25">
        <v>225</v>
      </c>
      <c r="L46" s="25">
        <v>225</v>
      </c>
      <c r="M46" s="25">
        <v>225</v>
      </c>
      <c r="N46" s="25">
        <v>225</v>
      </c>
      <c r="O46" s="25">
        <v>225</v>
      </c>
      <c r="P46" s="25">
        <f>SUM(D46:O46)</f>
      </c>
    </row>
    <row r="47" ht="20" customHeight="1" spans="1:16" x14ac:dyDescent="0.25">
      <c r="A47" s="26" t="s">
        <v>2</v>
      </c>
      <c r="B47" s="26" t="s">
        <v>2</v>
      </c>
      <c r="C47" s="14" t="s">
        <v>139</v>
      </c>
      <c r="D47" s="25">
        <v>225</v>
      </c>
      <c r="E47" s="25">
        <v>225</v>
      </c>
      <c r="F47" s="25">
        <v>225</v>
      </c>
      <c r="G47" s="25">
        <v>225</v>
      </c>
      <c r="H47" s="25">
        <v>225</v>
      </c>
      <c r="I47" s="25">
        <v>225</v>
      </c>
      <c r="J47" s="25">
        <v>225</v>
      </c>
      <c r="K47" s="25">
        <v>220</v>
      </c>
      <c r="L47" s="25">
        <v>0</v>
      </c>
      <c r="M47" s="25">
        <v>0</v>
      </c>
      <c r="N47" s="25">
        <v>0</v>
      </c>
      <c r="O47" s="25">
        <v>0</v>
      </c>
      <c r="P47" s="25">
        <f>SUM(D47:O47)</f>
      </c>
    </row>
    <row r="48" ht="20" customHeight="1" spans="1:16" x14ac:dyDescent="0.25">
      <c r="A48" s="26" t="s">
        <v>2</v>
      </c>
      <c r="B48" s="26" t="s">
        <v>2</v>
      </c>
      <c r="C48" s="14" t="s">
        <v>140</v>
      </c>
      <c r="D48" s="25">
        <v>113</v>
      </c>
      <c r="E48" s="25">
        <v>113</v>
      </c>
      <c r="F48" s="25">
        <v>113</v>
      </c>
      <c r="G48" s="25">
        <v>113</v>
      </c>
      <c r="H48" s="25">
        <v>113</v>
      </c>
      <c r="I48" s="25">
        <v>113</v>
      </c>
      <c r="J48" s="25">
        <v>113</v>
      </c>
      <c r="K48" s="25">
        <v>95</v>
      </c>
      <c r="L48" s="25">
        <v>0</v>
      </c>
      <c r="M48" s="25">
        <v>0</v>
      </c>
      <c r="N48" s="25">
        <v>0</v>
      </c>
      <c r="O48" s="25">
        <v>0</v>
      </c>
      <c r="P48" s="25">
        <f>SUM(D48:O48)</f>
      </c>
    </row>
    <row r="49" ht="20" customHeight="1" spans="1:16" x14ac:dyDescent="0.25">
      <c r="A49" s="23">
        <v>16</v>
      </c>
      <c r="B49" s="24" t="s">
        <v>155</v>
      </c>
      <c r="C49" s="14" t="s">
        <v>138</v>
      </c>
      <c r="D49" s="25">
        <v>67</v>
      </c>
      <c r="E49" s="25">
        <v>67</v>
      </c>
      <c r="F49" s="25">
        <v>67</v>
      </c>
      <c r="G49" s="25">
        <v>67</v>
      </c>
      <c r="H49" s="25">
        <v>67</v>
      </c>
      <c r="I49" s="25">
        <v>67</v>
      </c>
      <c r="J49" s="25">
        <v>67</v>
      </c>
      <c r="K49" s="25">
        <v>67</v>
      </c>
      <c r="L49" s="25">
        <v>67</v>
      </c>
      <c r="M49" s="25">
        <v>67</v>
      </c>
      <c r="N49" s="25">
        <v>67</v>
      </c>
      <c r="O49" s="25">
        <v>67</v>
      </c>
      <c r="P49" s="25">
        <f>SUM(D49:O49)</f>
      </c>
    </row>
    <row r="50" ht="20" customHeight="1" spans="1:16" x14ac:dyDescent="0.25">
      <c r="A50" s="26" t="s">
        <v>2</v>
      </c>
      <c r="B50" s="26" t="s">
        <v>2</v>
      </c>
      <c r="C50" s="14" t="s">
        <v>139</v>
      </c>
      <c r="D50" s="25">
        <v>67</v>
      </c>
      <c r="E50" s="25">
        <v>67</v>
      </c>
      <c r="F50" s="25">
        <v>67</v>
      </c>
      <c r="G50" s="25">
        <v>67</v>
      </c>
      <c r="H50" s="25">
        <v>67</v>
      </c>
      <c r="I50" s="25">
        <v>67</v>
      </c>
      <c r="J50" s="25">
        <v>67</v>
      </c>
      <c r="K50" s="25">
        <v>60</v>
      </c>
      <c r="L50" s="25">
        <v>0</v>
      </c>
      <c r="M50" s="25">
        <v>0</v>
      </c>
      <c r="N50" s="25">
        <v>0</v>
      </c>
      <c r="O50" s="25">
        <v>0</v>
      </c>
      <c r="P50" s="25">
        <f>SUM(D50:O50)</f>
      </c>
    </row>
    <row r="51" ht="20" customHeight="1" spans="1:16" x14ac:dyDescent="0.25">
      <c r="A51" s="26" t="s">
        <v>2</v>
      </c>
      <c r="B51" s="26" t="s">
        <v>2</v>
      </c>
      <c r="C51" s="14" t="s">
        <v>140</v>
      </c>
      <c r="D51" s="25">
        <v>39</v>
      </c>
      <c r="E51" s="25">
        <v>39</v>
      </c>
      <c r="F51" s="25">
        <v>39</v>
      </c>
      <c r="G51" s="25">
        <v>39</v>
      </c>
      <c r="H51" s="25">
        <v>39</v>
      </c>
      <c r="I51" s="25">
        <v>39</v>
      </c>
      <c r="J51" s="25">
        <v>39</v>
      </c>
      <c r="K51" s="25">
        <v>35</v>
      </c>
      <c r="L51" s="25">
        <v>0</v>
      </c>
      <c r="M51" s="25">
        <v>0</v>
      </c>
      <c r="N51" s="25">
        <v>0</v>
      </c>
      <c r="O51" s="25">
        <v>0</v>
      </c>
      <c r="P51" s="25">
        <f>SUM(D51:O51)</f>
      </c>
    </row>
    <row r="52" ht="20" customHeight="1" spans="1:16" x14ac:dyDescent="0.25">
      <c r="A52" s="23">
        <v>17</v>
      </c>
      <c r="B52" s="24" t="s">
        <v>156</v>
      </c>
      <c r="C52" s="14" t="s">
        <v>138</v>
      </c>
      <c r="D52" s="25">
        <v>125</v>
      </c>
      <c r="E52" s="25">
        <v>125</v>
      </c>
      <c r="F52" s="25">
        <v>125</v>
      </c>
      <c r="G52" s="25">
        <v>125</v>
      </c>
      <c r="H52" s="25">
        <v>125</v>
      </c>
      <c r="I52" s="25">
        <v>125</v>
      </c>
      <c r="J52" s="25">
        <v>125</v>
      </c>
      <c r="K52" s="25">
        <v>125</v>
      </c>
      <c r="L52" s="25">
        <v>125</v>
      </c>
      <c r="M52" s="25">
        <v>125</v>
      </c>
      <c r="N52" s="25">
        <v>125</v>
      </c>
      <c r="O52" s="25">
        <v>125</v>
      </c>
      <c r="P52" s="25">
        <f>SUM(D52:O52)</f>
      </c>
    </row>
    <row r="53" ht="20" customHeight="1" spans="1:16" x14ac:dyDescent="0.25">
      <c r="A53" s="26" t="s">
        <v>2</v>
      </c>
      <c r="B53" s="26" t="s">
        <v>2</v>
      </c>
      <c r="C53" s="14" t="s">
        <v>139</v>
      </c>
      <c r="D53" s="25">
        <v>125</v>
      </c>
      <c r="E53" s="25">
        <v>125</v>
      </c>
      <c r="F53" s="25">
        <v>125</v>
      </c>
      <c r="G53" s="25">
        <v>125</v>
      </c>
      <c r="H53" s="25">
        <v>125</v>
      </c>
      <c r="I53" s="25">
        <v>125</v>
      </c>
      <c r="J53" s="25">
        <v>125</v>
      </c>
      <c r="K53" s="25">
        <v>102</v>
      </c>
      <c r="L53" s="25">
        <v>0</v>
      </c>
      <c r="M53" s="25">
        <v>0</v>
      </c>
      <c r="N53" s="25">
        <v>0</v>
      </c>
      <c r="O53" s="25">
        <v>0</v>
      </c>
      <c r="P53" s="25">
        <f>SUM(D53:O53)</f>
      </c>
    </row>
    <row r="54" ht="20" customHeight="1" spans="1:16" x14ac:dyDescent="0.25">
      <c r="A54" s="26" t="s">
        <v>2</v>
      </c>
      <c r="B54" s="26" t="s">
        <v>2</v>
      </c>
      <c r="C54" s="14" t="s">
        <v>140</v>
      </c>
      <c r="D54" s="25">
        <v>6</v>
      </c>
      <c r="E54" s="25">
        <v>6</v>
      </c>
      <c r="F54" s="25">
        <v>6</v>
      </c>
      <c r="G54" s="25">
        <v>6</v>
      </c>
      <c r="H54" s="25">
        <v>6</v>
      </c>
      <c r="I54" s="25">
        <v>6</v>
      </c>
      <c r="J54" s="25">
        <v>6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f>SUM(D54:O54)</f>
      </c>
    </row>
    <row r="55" ht="20" customHeight="1" spans="1:16" x14ac:dyDescent="0.25">
      <c r="A55" s="23">
        <v>18</v>
      </c>
      <c r="B55" s="24" t="s">
        <v>157</v>
      </c>
      <c r="C55" s="14" t="s">
        <v>138</v>
      </c>
      <c r="D55" s="25">
        <v>2542</v>
      </c>
      <c r="E55" s="25">
        <v>2542</v>
      </c>
      <c r="F55" s="25">
        <v>2542</v>
      </c>
      <c r="G55" s="25">
        <v>2542</v>
      </c>
      <c r="H55" s="25">
        <v>2542</v>
      </c>
      <c r="I55" s="25">
        <v>2542</v>
      </c>
      <c r="J55" s="25">
        <v>2542</v>
      </c>
      <c r="K55" s="25">
        <v>2542</v>
      </c>
      <c r="L55" s="25">
        <v>2542</v>
      </c>
      <c r="M55" s="25">
        <v>2542</v>
      </c>
      <c r="N55" s="25">
        <v>2542</v>
      </c>
      <c r="O55" s="25">
        <v>2542</v>
      </c>
      <c r="P55" s="25">
        <f>SUM(D55:O55)</f>
      </c>
    </row>
    <row r="56" ht="20" customHeight="1" spans="1:16" x14ac:dyDescent="0.25">
      <c r="A56" s="26" t="s">
        <v>2</v>
      </c>
      <c r="B56" s="26" t="s">
        <v>2</v>
      </c>
      <c r="C56" s="14" t="s">
        <v>139</v>
      </c>
      <c r="D56" s="25">
        <v>2542</v>
      </c>
      <c r="E56" s="25">
        <v>2542</v>
      </c>
      <c r="F56" s="25">
        <v>2542</v>
      </c>
      <c r="G56" s="25">
        <v>2542</v>
      </c>
      <c r="H56" s="25">
        <v>2542</v>
      </c>
      <c r="I56" s="25">
        <v>2542</v>
      </c>
      <c r="J56" s="25">
        <v>2542</v>
      </c>
      <c r="K56" s="25">
        <v>3764</v>
      </c>
      <c r="L56" s="25">
        <v>0</v>
      </c>
      <c r="M56" s="25">
        <v>0</v>
      </c>
      <c r="N56" s="25">
        <v>0</v>
      </c>
      <c r="O56" s="25">
        <v>0</v>
      </c>
      <c r="P56" s="25">
        <f>SUM(D56:O56)</f>
      </c>
    </row>
    <row r="57" ht="20" customHeight="1" spans="1:16" x14ac:dyDescent="0.25">
      <c r="A57" s="26" t="s">
        <v>2</v>
      </c>
      <c r="B57" s="26" t="s">
        <v>2</v>
      </c>
      <c r="C57" s="14" t="s">
        <v>140</v>
      </c>
      <c r="D57" s="25">
        <v>153</v>
      </c>
      <c r="E57" s="25">
        <v>153</v>
      </c>
      <c r="F57" s="25">
        <v>153</v>
      </c>
      <c r="G57" s="25">
        <v>153</v>
      </c>
      <c r="H57" s="25">
        <v>153</v>
      </c>
      <c r="I57" s="25">
        <v>153</v>
      </c>
      <c r="J57" s="25">
        <v>153</v>
      </c>
      <c r="K57" s="25">
        <v>241</v>
      </c>
      <c r="L57" s="25">
        <v>0</v>
      </c>
      <c r="M57" s="25">
        <v>0</v>
      </c>
      <c r="N57" s="25">
        <v>0</v>
      </c>
      <c r="O57" s="25">
        <v>0</v>
      </c>
      <c r="P57" s="25">
        <f>SUM(D57:O57)</f>
      </c>
    </row>
    <row r="58" ht="20" customHeight="1" spans="1:16" x14ac:dyDescent="0.25">
      <c r="A58" s="23">
        <v>19</v>
      </c>
      <c r="B58" s="24" t="s">
        <v>158</v>
      </c>
      <c r="C58" s="14" t="s">
        <v>138</v>
      </c>
      <c r="D58" s="25">
        <v>2000</v>
      </c>
      <c r="E58" s="25">
        <v>2000</v>
      </c>
      <c r="F58" s="25">
        <v>2000</v>
      </c>
      <c r="G58" s="25">
        <v>2000</v>
      </c>
      <c r="H58" s="25">
        <v>2000</v>
      </c>
      <c r="I58" s="25">
        <v>2000</v>
      </c>
      <c r="J58" s="25">
        <v>2000</v>
      </c>
      <c r="K58" s="25">
        <v>2000</v>
      </c>
      <c r="L58" s="25">
        <v>2000</v>
      </c>
      <c r="M58" s="25">
        <v>2000</v>
      </c>
      <c r="N58" s="25">
        <v>2000</v>
      </c>
      <c r="O58" s="25">
        <v>2000</v>
      </c>
      <c r="P58" s="25">
        <f>SUM(D58:O58)</f>
      </c>
    </row>
    <row r="59" ht="20" customHeight="1" spans="1:16" x14ac:dyDescent="0.25">
      <c r="A59" s="26" t="s">
        <v>2</v>
      </c>
      <c r="B59" s="26" t="s">
        <v>2</v>
      </c>
      <c r="C59" s="14" t="s">
        <v>139</v>
      </c>
      <c r="D59" s="25">
        <v>2000</v>
      </c>
      <c r="E59" s="25">
        <v>2000</v>
      </c>
      <c r="F59" s="25">
        <v>2000</v>
      </c>
      <c r="G59" s="25">
        <v>2000</v>
      </c>
      <c r="H59" s="25">
        <v>2000</v>
      </c>
      <c r="I59" s="25">
        <v>2000</v>
      </c>
      <c r="J59" s="25">
        <v>2000</v>
      </c>
      <c r="K59" s="25">
        <v>6770</v>
      </c>
      <c r="L59" s="25">
        <v>0</v>
      </c>
      <c r="M59" s="25">
        <v>0</v>
      </c>
      <c r="N59" s="25">
        <v>0</v>
      </c>
      <c r="O59" s="25">
        <v>0</v>
      </c>
      <c r="P59" s="25">
        <f>SUM(D59:O59)</f>
      </c>
    </row>
    <row r="60" ht="20" customHeight="1" spans="1:16" x14ac:dyDescent="0.25">
      <c r="A60" s="26" t="s">
        <v>2</v>
      </c>
      <c r="B60" s="26" t="s">
        <v>2</v>
      </c>
      <c r="C60" s="14" t="s">
        <v>140</v>
      </c>
      <c r="D60" s="25">
        <v>100</v>
      </c>
      <c r="E60" s="25">
        <v>100</v>
      </c>
      <c r="F60" s="25">
        <v>100</v>
      </c>
      <c r="G60" s="25">
        <v>100</v>
      </c>
      <c r="H60" s="25">
        <v>100</v>
      </c>
      <c r="I60" s="25">
        <v>100</v>
      </c>
      <c r="J60" s="25">
        <v>100</v>
      </c>
      <c r="K60" s="25">
        <v>244</v>
      </c>
      <c r="L60" s="25">
        <v>0</v>
      </c>
      <c r="M60" s="25">
        <v>0</v>
      </c>
      <c r="N60" s="25">
        <v>0</v>
      </c>
      <c r="O60" s="25">
        <v>0</v>
      </c>
      <c r="P60" s="25">
        <f>SUM(D60:O60)</f>
      </c>
    </row>
    <row r="61" ht="20" customHeight="1" spans="1:16" x14ac:dyDescent="0.25">
      <c r="A61" s="23">
        <v>20</v>
      </c>
      <c r="B61" s="24" t="s">
        <v>159</v>
      </c>
      <c r="C61" s="14" t="s">
        <v>138</v>
      </c>
      <c r="D61" s="25">
        <v>117</v>
      </c>
      <c r="E61" s="25">
        <v>117</v>
      </c>
      <c r="F61" s="25">
        <v>117</v>
      </c>
      <c r="G61" s="25">
        <v>117</v>
      </c>
      <c r="H61" s="25">
        <v>117</v>
      </c>
      <c r="I61" s="25">
        <v>117</v>
      </c>
      <c r="J61" s="25">
        <v>117</v>
      </c>
      <c r="K61" s="25">
        <v>117</v>
      </c>
      <c r="L61" s="25">
        <v>117</v>
      </c>
      <c r="M61" s="25">
        <v>117</v>
      </c>
      <c r="N61" s="25">
        <v>117</v>
      </c>
      <c r="O61" s="25">
        <v>117</v>
      </c>
      <c r="P61" s="25">
        <f>SUM(D61:O61)</f>
      </c>
    </row>
    <row r="62" ht="20" customHeight="1" spans="1:16" x14ac:dyDescent="0.25">
      <c r="A62" s="26" t="s">
        <v>2</v>
      </c>
      <c r="B62" s="26" t="s">
        <v>2</v>
      </c>
      <c r="C62" s="14" t="s">
        <v>139</v>
      </c>
      <c r="D62" s="25">
        <v>117</v>
      </c>
      <c r="E62" s="25">
        <v>117</v>
      </c>
      <c r="F62" s="25">
        <v>117</v>
      </c>
      <c r="G62" s="25">
        <v>117</v>
      </c>
      <c r="H62" s="25">
        <v>117</v>
      </c>
      <c r="I62" s="25">
        <v>117</v>
      </c>
      <c r="J62" s="25">
        <v>117</v>
      </c>
      <c r="K62" s="25">
        <v>105</v>
      </c>
      <c r="L62" s="25">
        <v>0</v>
      </c>
      <c r="M62" s="25">
        <v>0</v>
      </c>
      <c r="N62" s="25">
        <v>0</v>
      </c>
      <c r="O62" s="25">
        <v>0</v>
      </c>
      <c r="P62" s="25">
        <f>SUM(D62:O62)</f>
      </c>
    </row>
    <row r="63" ht="20" customHeight="1" spans="1:16" x14ac:dyDescent="0.25">
      <c r="A63" s="26" t="s">
        <v>2</v>
      </c>
      <c r="B63" s="26" t="s">
        <v>2</v>
      </c>
      <c r="C63" s="14" t="s">
        <v>140</v>
      </c>
      <c r="D63" s="25">
        <v>7</v>
      </c>
      <c r="E63" s="25">
        <v>7</v>
      </c>
      <c r="F63" s="25">
        <v>7</v>
      </c>
      <c r="G63" s="25">
        <v>7</v>
      </c>
      <c r="H63" s="25">
        <v>7</v>
      </c>
      <c r="I63" s="25">
        <v>7</v>
      </c>
      <c r="J63" s="25">
        <v>7</v>
      </c>
      <c r="K63" s="25">
        <v>3</v>
      </c>
      <c r="L63" s="25">
        <v>0</v>
      </c>
      <c r="M63" s="25">
        <v>0</v>
      </c>
      <c r="N63" s="25">
        <v>0</v>
      </c>
      <c r="O63" s="25">
        <v>0</v>
      </c>
      <c r="P63" s="25">
        <f>SUM(D63:O63)</f>
      </c>
    </row>
    <row r="64" ht="20" customHeight="1" spans="1:16" x14ac:dyDescent="0.25">
      <c r="A64" s="23">
        <v>21</v>
      </c>
      <c r="B64" s="24" t="s">
        <v>160</v>
      </c>
      <c r="C64" s="14" t="s">
        <v>138</v>
      </c>
      <c r="D64" s="25">
        <v>1833</v>
      </c>
      <c r="E64" s="25">
        <v>1833</v>
      </c>
      <c r="F64" s="25">
        <v>1833</v>
      </c>
      <c r="G64" s="25">
        <v>1833</v>
      </c>
      <c r="H64" s="25">
        <v>1833</v>
      </c>
      <c r="I64" s="25">
        <v>1833</v>
      </c>
      <c r="J64" s="25">
        <v>1833</v>
      </c>
      <c r="K64" s="25">
        <v>1833</v>
      </c>
      <c r="L64" s="25">
        <v>1833</v>
      </c>
      <c r="M64" s="25">
        <v>1833</v>
      </c>
      <c r="N64" s="25">
        <v>1833</v>
      </c>
      <c r="O64" s="25">
        <v>1833</v>
      </c>
      <c r="P64" s="25">
        <f>SUM(D64:O64)</f>
      </c>
    </row>
    <row r="65" ht="20" customHeight="1" spans="1:16" x14ac:dyDescent="0.25">
      <c r="A65" s="26" t="s">
        <v>2</v>
      </c>
      <c r="B65" s="26" t="s">
        <v>2</v>
      </c>
      <c r="C65" s="14" t="s">
        <v>139</v>
      </c>
      <c r="D65" s="25">
        <v>1833</v>
      </c>
      <c r="E65" s="25">
        <v>1833</v>
      </c>
      <c r="F65" s="25">
        <v>1833</v>
      </c>
      <c r="G65" s="25">
        <v>1833</v>
      </c>
      <c r="H65" s="25">
        <v>1833</v>
      </c>
      <c r="I65" s="25">
        <v>1833</v>
      </c>
      <c r="J65" s="25">
        <v>1833</v>
      </c>
      <c r="K65" s="25">
        <v>1415</v>
      </c>
      <c r="L65" s="25">
        <v>0</v>
      </c>
      <c r="M65" s="25">
        <v>0</v>
      </c>
      <c r="N65" s="25">
        <v>0</v>
      </c>
      <c r="O65" s="25">
        <v>0</v>
      </c>
      <c r="P65" s="25">
        <f>SUM(D65:O65)</f>
      </c>
    </row>
    <row r="66" ht="20" customHeight="1" spans="1:16" x14ac:dyDescent="0.25">
      <c r="A66" s="26" t="s">
        <v>2</v>
      </c>
      <c r="B66" s="26" t="s">
        <v>2</v>
      </c>
      <c r="C66" s="14" t="s">
        <v>140</v>
      </c>
      <c r="D66" s="25">
        <v>733</v>
      </c>
      <c r="E66" s="25">
        <v>733</v>
      </c>
      <c r="F66" s="25">
        <v>733</v>
      </c>
      <c r="G66" s="25">
        <v>733</v>
      </c>
      <c r="H66" s="25">
        <v>733</v>
      </c>
      <c r="I66" s="25">
        <v>733</v>
      </c>
      <c r="J66" s="25">
        <v>733</v>
      </c>
      <c r="K66" s="25">
        <v>310</v>
      </c>
      <c r="L66" s="25">
        <v>0</v>
      </c>
      <c r="M66" s="25">
        <v>0</v>
      </c>
      <c r="N66" s="25">
        <v>0</v>
      </c>
      <c r="O66" s="25">
        <v>0</v>
      </c>
      <c r="P66" s="25">
        <f>SUM(D66:O66)</f>
      </c>
    </row>
    <row r="67" ht="20" customHeight="1" spans="1:16" x14ac:dyDescent="0.25">
      <c r="A67" s="23">
        <v>22</v>
      </c>
      <c r="B67" s="24" t="s">
        <v>161</v>
      </c>
      <c r="C67" s="14" t="s">
        <v>138</v>
      </c>
      <c r="D67" s="25">
        <v>500</v>
      </c>
      <c r="E67" s="25">
        <v>500</v>
      </c>
      <c r="F67" s="25">
        <v>500</v>
      </c>
      <c r="G67" s="25">
        <v>500</v>
      </c>
      <c r="H67" s="25">
        <v>500</v>
      </c>
      <c r="I67" s="25">
        <v>500</v>
      </c>
      <c r="J67" s="25">
        <v>500</v>
      </c>
      <c r="K67" s="25">
        <v>500</v>
      </c>
      <c r="L67" s="25">
        <v>500</v>
      </c>
      <c r="M67" s="25">
        <v>500</v>
      </c>
      <c r="N67" s="25">
        <v>500</v>
      </c>
      <c r="O67" s="25">
        <v>500</v>
      </c>
      <c r="P67" s="25">
        <f>SUM(D67:O67)</f>
      </c>
    </row>
    <row r="68" ht="20" customHeight="1" spans="1:16" x14ac:dyDescent="0.25">
      <c r="A68" s="26" t="s">
        <v>2</v>
      </c>
      <c r="B68" s="26" t="s">
        <v>2</v>
      </c>
      <c r="C68" s="14" t="s">
        <v>139</v>
      </c>
      <c r="D68" s="25">
        <v>500</v>
      </c>
      <c r="E68" s="25">
        <v>500</v>
      </c>
      <c r="F68" s="25">
        <v>500</v>
      </c>
      <c r="G68" s="25">
        <v>500</v>
      </c>
      <c r="H68" s="25">
        <v>500</v>
      </c>
      <c r="I68" s="25">
        <v>500</v>
      </c>
      <c r="J68" s="25">
        <v>500</v>
      </c>
      <c r="K68" s="25">
        <v>447</v>
      </c>
      <c r="L68" s="25">
        <v>0</v>
      </c>
      <c r="M68" s="25">
        <v>0</v>
      </c>
      <c r="N68" s="25">
        <v>0</v>
      </c>
      <c r="O68" s="25">
        <v>0</v>
      </c>
      <c r="P68" s="25">
        <f>SUM(D68:O68)</f>
      </c>
    </row>
    <row r="69" ht="20" customHeight="1" spans="1:16" x14ac:dyDescent="0.25">
      <c r="A69" s="26" t="s">
        <v>2</v>
      </c>
      <c r="B69" s="26" t="s">
        <v>2</v>
      </c>
      <c r="C69" s="14" t="s">
        <v>140</v>
      </c>
      <c r="D69" s="25">
        <v>180</v>
      </c>
      <c r="E69" s="25">
        <v>180</v>
      </c>
      <c r="F69" s="25">
        <v>180</v>
      </c>
      <c r="G69" s="25">
        <v>180</v>
      </c>
      <c r="H69" s="25">
        <v>180</v>
      </c>
      <c r="I69" s="25">
        <v>180</v>
      </c>
      <c r="J69" s="25">
        <v>180</v>
      </c>
      <c r="K69" s="25">
        <v>161</v>
      </c>
      <c r="L69" s="25">
        <v>0</v>
      </c>
      <c r="M69" s="25">
        <v>0</v>
      </c>
      <c r="N69" s="25">
        <v>0</v>
      </c>
      <c r="O69" s="25">
        <v>0</v>
      </c>
      <c r="P69" s="25">
        <f>SUM(D69:O69)</f>
      </c>
    </row>
    <row r="70" ht="20" customHeight="1" spans="1:16" x14ac:dyDescent="0.25">
      <c r="A70" s="23">
        <v>23</v>
      </c>
      <c r="B70" s="24" t="s">
        <v>162</v>
      </c>
      <c r="C70" s="14" t="s">
        <v>138</v>
      </c>
      <c r="D70" s="25">
        <v>458</v>
      </c>
      <c r="E70" s="25">
        <v>458</v>
      </c>
      <c r="F70" s="25">
        <v>458</v>
      </c>
      <c r="G70" s="25">
        <v>458</v>
      </c>
      <c r="H70" s="25">
        <v>458</v>
      </c>
      <c r="I70" s="25">
        <v>458</v>
      </c>
      <c r="J70" s="25">
        <v>458</v>
      </c>
      <c r="K70" s="25">
        <v>458</v>
      </c>
      <c r="L70" s="25">
        <v>458</v>
      </c>
      <c r="M70" s="25">
        <v>458</v>
      </c>
      <c r="N70" s="25">
        <v>458</v>
      </c>
      <c r="O70" s="25">
        <v>458</v>
      </c>
      <c r="P70" s="25">
        <f>SUM(D70:O70)</f>
      </c>
    </row>
    <row r="71" ht="20" customHeight="1" spans="1:16" x14ac:dyDescent="0.25">
      <c r="A71" s="26" t="s">
        <v>2</v>
      </c>
      <c r="B71" s="26" t="s">
        <v>2</v>
      </c>
      <c r="C71" s="14" t="s">
        <v>139</v>
      </c>
      <c r="D71" s="25">
        <v>458</v>
      </c>
      <c r="E71" s="25">
        <v>458</v>
      </c>
      <c r="F71" s="25">
        <v>458</v>
      </c>
      <c r="G71" s="25">
        <v>458</v>
      </c>
      <c r="H71" s="25">
        <v>458</v>
      </c>
      <c r="I71" s="25">
        <v>458</v>
      </c>
      <c r="J71" s="25">
        <v>458</v>
      </c>
      <c r="K71" s="25">
        <v>640</v>
      </c>
      <c r="L71" s="25">
        <v>0</v>
      </c>
      <c r="M71" s="25">
        <v>0</v>
      </c>
      <c r="N71" s="25">
        <v>0</v>
      </c>
      <c r="O71" s="25">
        <v>0</v>
      </c>
      <c r="P71" s="25">
        <f>SUM(D71:O71)</f>
      </c>
    </row>
    <row r="72" ht="20" customHeight="1" spans="1:16" x14ac:dyDescent="0.25">
      <c r="A72" s="26" t="s">
        <v>2</v>
      </c>
      <c r="B72" s="26" t="s">
        <v>2</v>
      </c>
      <c r="C72" s="14" t="s">
        <v>140</v>
      </c>
      <c r="D72" s="25">
        <v>170</v>
      </c>
      <c r="E72" s="25">
        <v>170</v>
      </c>
      <c r="F72" s="25">
        <v>170</v>
      </c>
      <c r="G72" s="25">
        <v>170</v>
      </c>
      <c r="H72" s="25">
        <v>170</v>
      </c>
      <c r="I72" s="25">
        <v>170</v>
      </c>
      <c r="J72" s="25">
        <v>170</v>
      </c>
      <c r="K72" s="25">
        <v>210</v>
      </c>
      <c r="L72" s="25">
        <v>0</v>
      </c>
      <c r="M72" s="25">
        <v>0</v>
      </c>
      <c r="N72" s="25">
        <v>0</v>
      </c>
      <c r="O72" s="25">
        <v>0</v>
      </c>
      <c r="P72" s="25">
        <f>SUM(D72:O72)</f>
      </c>
    </row>
    <row r="73" ht="20" customHeight="1" spans="1:16" x14ac:dyDescent="0.25">
      <c r="A73" s="23">
        <v>24</v>
      </c>
      <c r="B73" s="24" t="s">
        <v>163</v>
      </c>
      <c r="C73" s="14" t="s">
        <v>138</v>
      </c>
      <c r="D73" s="25">
        <v>1875</v>
      </c>
      <c r="E73" s="25">
        <v>1875</v>
      </c>
      <c r="F73" s="25">
        <v>1875</v>
      </c>
      <c r="G73" s="25">
        <v>1875</v>
      </c>
      <c r="H73" s="25">
        <v>1875</v>
      </c>
      <c r="I73" s="25">
        <v>1875</v>
      </c>
      <c r="J73" s="25">
        <v>1875</v>
      </c>
      <c r="K73" s="25">
        <v>1875</v>
      </c>
      <c r="L73" s="25">
        <v>1875</v>
      </c>
      <c r="M73" s="25">
        <v>1875</v>
      </c>
      <c r="N73" s="25">
        <v>1875</v>
      </c>
      <c r="O73" s="25">
        <v>1875</v>
      </c>
      <c r="P73" s="25">
        <f>SUM(D73:O73)</f>
      </c>
    </row>
    <row r="74" ht="20" customHeight="1" spans="1:16" x14ac:dyDescent="0.25">
      <c r="A74" s="26" t="s">
        <v>2</v>
      </c>
      <c r="B74" s="26" t="s">
        <v>2</v>
      </c>
      <c r="C74" s="14" t="s">
        <v>139</v>
      </c>
      <c r="D74" s="25">
        <v>1875</v>
      </c>
      <c r="E74" s="25">
        <v>1875</v>
      </c>
      <c r="F74" s="25">
        <v>1875</v>
      </c>
      <c r="G74" s="25">
        <v>1875</v>
      </c>
      <c r="H74" s="25">
        <v>1875</v>
      </c>
      <c r="I74" s="25">
        <v>1875</v>
      </c>
      <c r="J74" s="25">
        <v>1875</v>
      </c>
      <c r="K74" s="25">
        <v>1248</v>
      </c>
      <c r="L74" s="25">
        <v>0</v>
      </c>
      <c r="M74" s="25">
        <v>0</v>
      </c>
      <c r="N74" s="25">
        <v>0</v>
      </c>
      <c r="O74" s="25">
        <v>0</v>
      </c>
      <c r="P74" s="25">
        <f>SUM(D74:O74)</f>
      </c>
    </row>
    <row r="75" ht="20" customHeight="1" spans="1:16" x14ac:dyDescent="0.25">
      <c r="A75" s="26" t="s">
        <v>2</v>
      </c>
      <c r="B75" s="26" t="s">
        <v>2</v>
      </c>
      <c r="C75" s="14" t="s">
        <v>140</v>
      </c>
      <c r="D75" s="25">
        <v>188</v>
      </c>
      <c r="E75" s="25">
        <v>188</v>
      </c>
      <c r="F75" s="25">
        <v>188</v>
      </c>
      <c r="G75" s="25">
        <v>188</v>
      </c>
      <c r="H75" s="25">
        <v>188</v>
      </c>
      <c r="I75" s="25">
        <v>188</v>
      </c>
      <c r="J75" s="25">
        <v>188</v>
      </c>
      <c r="K75" s="25">
        <v>177</v>
      </c>
      <c r="L75" s="25">
        <v>0</v>
      </c>
      <c r="M75" s="25">
        <v>0</v>
      </c>
      <c r="N75" s="25">
        <v>0</v>
      </c>
      <c r="O75" s="25">
        <v>0</v>
      </c>
      <c r="P75" s="25">
        <f>SUM(D75:O75)</f>
      </c>
    </row>
    <row r="76" ht="20" customHeight="1" spans="1:16" x14ac:dyDescent="0.25">
      <c r="A76" s="23">
        <v>25</v>
      </c>
      <c r="B76" s="24" t="s">
        <v>164</v>
      </c>
      <c r="C76" s="14" t="s">
        <v>138</v>
      </c>
      <c r="D76" s="25">
        <v>1917</v>
      </c>
      <c r="E76" s="25">
        <v>1917</v>
      </c>
      <c r="F76" s="25">
        <v>1917</v>
      </c>
      <c r="G76" s="25">
        <v>1917</v>
      </c>
      <c r="H76" s="25">
        <v>1917</v>
      </c>
      <c r="I76" s="25">
        <v>1917</v>
      </c>
      <c r="J76" s="25">
        <v>1917</v>
      </c>
      <c r="K76" s="25">
        <v>1917</v>
      </c>
      <c r="L76" s="25">
        <v>1917</v>
      </c>
      <c r="M76" s="25">
        <v>1917</v>
      </c>
      <c r="N76" s="25">
        <v>1917</v>
      </c>
      <c r="O76" s="25">
        <v>1917</v>
      </c>
      <c r="P76" s="25">
        <f>SUM(D76:O76)</f>
      </c>
    </row>
    <row r="77" ht="20" customHeight="1" spans="1:16" x14ac:dyDescent="0.25">
      <c r="A77" s="26" t="s">
        <v>2</v>
      </c>
      <c r="B77" s="26" t="s">
        <v>2</v>
      </c>
      <c r="C77" s="14" t="s">
        <v>139</v>
      </c>
      <c r="D77" s="25">
        <v>1917</v>
      </c>
      <c r="E77" s="25">
        <v>1917</v>
      </c>
      <c r="F77" s="25">
        <v>1917</v>
      </c>
      <c r="G77" s="25">
        <v>1917</v>
      </c>
      <c r="H77" s="25">
        <v>1917</v>
      </c>
      <c r="I77" s="25">
        <v>1917</v>
      </c>
      <c r="J77" s="25">
        <v>1917</v>
      </c>
      <c r="K77" s="25">
        <v>2213</v>
      </c>
      <c r="L77" s="25">
        <v>0</v>
      </c>
      <c r="M77" s="25">
        <v>0</v>
      </c>
      <c r="N77" s="25">
        <v>0</v>
      </c>
      <c r="O77" s="25">
        <v>0</v>
      </c>
      <c r="P77" s="25">
        <f>SUM(D77:O77)</f>
      </c>
    </row>
    <row r="78" ht="20" customHeight="1" spans="1:16" x14ac:dyDescent="0.25">
      <c r="A78" s="26" t="s">
        <v>2</v>
      </c>
      <c r="B78" s="26" t="s">
        <v>2</v>
      </c>
      <c r="C78" s="14" t="s">
        <v>140</v>
      </c>
      <c r="D78" s="25">
        <v>153</v>
      </c>
      <c r="E78" s="25">
        <v>153</v>
      </c>
      <c r="F78" s="25">
        <v>153</v>
      </c>
      <c r="G78" s="25">
        <v>153</v>
      </c>
      <c r="H78" s="25">
        <v>153</v>
      </c>
      <c r="I78" s="25">
        <v>153</v>
      </c>
      <c r="J78" s="25">
        <v>153</v>
      </c>
      <c r="K78" s="25">
        <v>166</v>
      </c>
      <c r="L78" s="25">
        <v>0</v>
      </c>
      <c r="M78" s="25">
        <v>0</v>
      </c>
      <c r="N78" s="25">
        <v>0</v>
      </c>
      <c r="O78" s="25">
        <v>0</v>
      </c>
      <c r="P78" s="25">
        <f>SUM(D78:O78)</f>
      </c>
    </row>
    <row r="79" ht="20" customHeight="1" spans="1:16" x14ac:dyDescent="0.25">
      <c r="A79" s="23">
        <v>26</v>
      </c>
      <c r="B79" s="24" t="s">
        <v>165</v>
      </c>
      <c r="C79" s="14" t="s">
        <v>138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f>SUM(D79:O79)</f>
      </c>
    </row>
    <row r="80" ht="20" customHeight="1" spans="1:16" x14ac:dyDescent="0.25">
      <c r="A80" s="26" t="s">
        <v>2</v>
      </c>
      <c r="B80" s="26" t="s">
        <v>2</v>
      </c>
      <c r="C80" s="14" t="s">
        <v>139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f>SUM(D80:O80)</f>
      </c>
    </row>
    <row r="81" ht="20" customHeight="1" spans="1:16" x14ac:dyDescent="0.25">
      <c r="A81" s="26" t="s">
        <v>2</v>
      </c>
      <c r="B81" s="26" t="s">
        <v>2</v>
      </c>
      <c r="C81" s="14" t="s">
        <v>140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f>SUM(D81:O81)</f>
      </c>
    </row>
    <row r="82" ht="20" customHeight="1" spans="1:16" x14ac:dyDescent="0.25">
      <c r="A82" s="23">
        <v>27</v>
      </c>
      <c r="B82" s="24" t="s">
        <v>166</v>
      </c>
      <c r="C82" s="14" t="s">
        <v>138</v>
      </c>
      <c r="D82" s="25">
        <v>500</v>
      </c>
      <c r="E82" s="25">
        <v>500</v>
      </c>
      <c r="F82" s="25">
        <v>500</v>
      </c>
      <c r="G82" s="25">
        <v>500</v>
      </c>
      <c r="H82" s="25">
        <v>500</v>
      </c>
      <c r="I82" s="25">
        <v>500</v>
      </c>
      <c r="J82" s="25">
        <v>500</v>
      </c>
      <c r="K82" s="25">
        <v>500</v>
      </c>
      <c r="L82" s="25">
        <v>500</v>
      </c>
      <c r="M82" s="25">
        <v>500</v>
      </c>
      <c r="N82" s="25">
        <v>500</v>
      </c>
      <c r="O82" s="25">
        <v>500</v>
      </c>
      <c r="P82" s="25">
        <f>SUM(D82:O82)</f>
      </c>
    </row>
    <row r="83" ht="20" customHeight="1" spans="1:16" x14ac:dyDescent="0.25">
      <c r="A83" s="26" t="s">
        <v>2</v>
      </c>
      <c r="B83" s="26" t="s">
        <v>2</v>
      </c>
      <c r="C83" s="14" t="s">
        <v>139</v>
      </c>
      <c r="D83" s="25">
        <v>500</v>
      </c>
      <c r="E83" s="25">
        <v>500</v>
      </c>
      <c r="F83" s="25">
        <v>500</v>
      </c>
      <c r="G83" s="25">
        <v>500</v>
      </c>
      <c r="H83" s="25">
        <v>500</v>
      </c>
      <c r="I83" s="25">
        <v>500</v>
      </c>
      <c r="J83" s="25">
        <v>500</v>
      </c>
      <c r="K83" s="25">
        <v>90.37</v>
      </c>
      <c r="L83" s="25">
        <v>0</v>
      </c>
      <c r="M83" s="25">
        <v>0</v>
      </c>
      <c r="N83" s="25">
        <v>0</v>
      </c>
      <c r="O83" s="25">
        <v>0</v>
      </c>
      <c r="P83" s="25">
        <f>SUM(D83:O83)</f>
      </c>
    </row>
    <row r="84" ht="20" customHeight="1" spans="1:16" x14ac:dyDescent="0.25">
      <c r="A84" s="26" t="s">
        <v>2</v>
      </c>
      <c r="B84" s="26" t="s">
        <v>2</v>
      </c>
      <c r="C84" s="14" t="s">
        <v>140</v>
      </c>
      <c r="D84" s="25">
        <v>75</v>
      </c>
      <c r="E84" s="25">
        <v>75</v>
      </c>
      <c r="F84" s="25">
        <v>75</v>
      </c>
      <c r="G84" s="25">
        <v>75</v>
      </c>
      <c r="H84" s="25">
        <v>75</v>
      </c>
      <c r="I84" s="25">
        <v>75</v>
      </c>
      <c r="J84" s="25">
        <v>75</v>
      </c>
      <c r="K84" s="25">
        <v>61.81</v>
      </c>
      <c r="L84" s="25">
        <v>0</v>
      </c>
      <c r="M84" s="25">
        <v>0</v>
      </c>
      <c r="N84" s="25">
        <v>0</v>
      </c>
      <c r="O84" s="25">
        <v>0</v>
      </c>
      <c r="P84" s="25">
        <f>SUM(D84:O84)</f>
      </c>
    </row>
    <row r="85" ht="20" customHeight="1" spans="1:16" x14ac:dyDescent="0.25">
      <c r="A85" s="23">
        <v>28</v>
      </c>
      <c r="B85" s="24" t="s">
        <v>167</v>
      </c>
      <c r="C85" s="14" t="s">
        <v>138</v>
      </c>
      <c r="D85" s="25">
        <v>458</v>
      </c>
      <c r="E85" s="25">
        <v>458</v>
      </c>
      <c r="F85" s="25">
        <v>458</v>
      </c>
      <c r="G85" s="25">
        <v>458</v>
      </c>
      <c r="H85" s="25">
        <v>458</v>
      </c>
      <c r="I85" s="25">
        <v>458</v>
      </c>
      <c r="J85" s="25">
        <v>458</v>
      </c>
      <c r="K85" s="25">
        <v>458</v>
      </c>
      <c r="L85" s="25">
        <v>458</v>
      </c>
      <c r="M85" s="25">
        <v>458</v>
      </c>
      <c r="N85" s="25">
        <v>458</v>
      </c>
      <c r="O85" s="25">
        <v>458</v>
      </c>
      <c r="P85" s="25">
        <f>SUM(D85:O85)</f>
      </c>
    </row>
    <row r="86" ht="20" customHeight="1" spans="1:16" x14ac:dyDescent="0.25">
      <c r="A86" s="26" t="s">
        <v>2</v>
      </c>
      <c r="B86" s="26" t="s">
        <v>2</v>
      </c>
      <c r="C86" s="14" t="s">
        <v>139</v>
      </c>
      <c r="D86" s="25">
        <v>458</v>
      </c>
      <c r="E86" s="25">
        <v>458</v>
      </c>
      <c r="F86" s="25">
        <v>458</v>
      </c>
      <c r="G86" s="25">
        <v>458</v>
      </c>
      <c r="H86" s="25">
        <v>458</v>
      </c>
      <c r="I86" s="25">
        <v>458</v>
      </c>
      <c r="J86" s="25">
        <v>458</v>
      </c>
      <c r="K86" s="25">
        <v>191</v>
      </c>
      <c r="L86" s="25">
        <v>0</v>
      </c>
      <c r="M86" s="25">
        <v>0</v>
      </c>
      <c r="N86" s="25">
        <v>0</v>
      </c>
      <c r="O86" s="25">
        <v>0</v>
      </c>
      <c r="P86" s="25">
        <f>SUM(D86:O86)</f>
      </c>
    </row>
    <row r="87" ht="20" customHeight="1" spans="1:16" x14ac:dyDescent="0.25">
      <c r="A87" s="26" t="s">
        <v>2</v>
      </c>
      <c r="B87" s="26" t="s">
        <v>2</v>
      </c>
      <c r="C87" s="14" t="s">
        <v>140</v>
      </c>
      <c r="D87" s="25">
        <v>105</v>
      </c>
      <c r="E87" s="25">
        <v>105</v>
      </c>
      <c r="F87" s="25">
        <v>105</v>
      </c>
      <c r="G87" s="25">
        <v>105</v>
      </c>
      <c r="H87" s="25">
        <v>105</v>
      </c>
      <c r="I87" s="25">
        <v>105</v>
      </c>
      <c r="J87" s="25">
        <v>105</v>
      </c>
      <c r="K87" s="25">
        <v>49</v>
      </c>
      <c r="L87" s="25">
        <v>0</v>
      </c>
      <c r="M87" s="25">
        <v>0</v>
      </c>
      <c r="N87" s="25">
        <v>0</v>
      </c>
      <c r="O87" s="25">
        <v>0</v>
      </c>
      <c r="P87" s="25">
        <f>SUM(D87:O87)</f>
      </c>
    </row>
    <row r="88" ht="20" customHeight="1" spans="1:16" x14ac:dyDescent="0.25">
      <c r="A88" s="23">
        <v>29</v>
      </c>
      <c r="B88" s="24" t="s">
        <v>168</v>
      </c>
      <c r="C88" s="14" t="s">
        <v>138</v>
      </c>
      <c r="D88" s="25">
        <v>50</v>
      </c>
      <c r="E88" s="25">
        <v>50</v>
      </c>
      <c r="F88" s="25">
        <v>50</v>
      </c>
      <c r="G88" s="25">
        <v>50</v>
      </c>
      <c r="H88" s="25">
        <v>50</v>
      </c>
      <c r="I88" s="25">
        <v>50</v>
      </c>
      <c r="J88" s="25">
        <v>50</v>
      </c>
      <c r="K88" s="25">
        <v>50</v>
      </c>
      <c r="L88" s="25">
        <v>50</v>
      </c>
      <c r="M88" s="25">
        <v>50</v>
      </c>
      <c r="N88" s="25">
        <v>50</v>
      </c>
      <c r="O88" s="25">
        <v>50</v>
      </c>
      <c r="P88" s="25">
        <f>SUM(D88:O88)</f>
      </c>
    </row>
    <row r="89" ht="20" customHeight="1" spans="1:16" x14ac:dyDescent="0.25">
      <c r="A89" s="26" t="s">
        <v>2</v>
      </c>
      <c r="B89" s="26" t="s">
        <v>2</v>
      </c>
      <c r="C89" s="14" t="s">
        <v>139</v>
      </c>
      <c r="D89" s="25">
        <v>50</v>
      </c>
      <c r="E89" s="25">
        <v>50</v>
      </c>
      <c r="F89" s="25">
        <v>50</v>
      </c>
      <c r="G89" s="25">
        <v>50</v>
      </c>
      <c r="H89" s="25">
        <v>50</v>
      </c>
      <c r="I89" s="25">
        <v>50</v>
      </c>
      <c r="J89" s="25">
        <v>50</v>
      </c>
      <c r="K89" s="25">
        <v>5</v>
      </c>
      <c r="L89" s="25">
        <v>0</v>
      </c>
      <c r="M89" s="25">
        <v>0</v>
      </c>
      <c r="N89" s="25">
        <v>0</v>
      </c>
      <c r="O89" s="25">
        <v>0</v>
      </c>
      <c r="P89" s="25">
        <f>SUM(D89:O89)</f>
      </c>
    </row>
    <row r="90" ht="20" customHeight="1" spans="1:16" x14ac:dyDescent="0.25">
      <c r="A90" s="26" t="s">
        <v>2</v>
      </c>
      <c r="B90" s="26" t="s">
        <v>2</v>
      </c>
      <c r="C90" s="14" t="s">
        <v>140</v>
      </c>
      <c r="D90" s="25">
        <v>9</v>
      </c>
      <c r="E90" s="25">
        <v>9</v>
      </c>
      <c r="F90" s="25">
        <v>9</v>
      </c>
      <c r="G90" s="25">
        <v>9</v>
      </c>
      <c r="H90" s="25">
        <v>9</v>
      </c>
      <c r="I90" s="25">
        <v>9</v>
      </c>
      <c r="J90" s="25">
        <v>9</v>
      </c>
      <c r="K90" s="25">
        <v>1</v>
      </c>
      <c r="L90" s="25">
        <v>0</v>
      </c>
      <c r="M90" s="25">
        <v>0</v>
      </c>
      <c r="N90" s="25">
        <v>0</v>
      </c>
      <c r="O90" s="25">
        <v>0</v>
      </c>
      <c r="P90" s="25">
        <f>SUM(D90:O90)</f>
      </c>
    </row>
    <row r="91" ht="20" customHeight="1" spans="1:16" x14ac:dyDescent="0.25">
      <c r="A91" s="23">
        <v>30</v>
      </c>
      <c r="B91" s="24" t="s">
        <v>169</v>
      </c>
      <c r="C91" s="14" t="s">
        <v>138</v>
      </c>
      <c r="D91" s="25">
        <v>50</v>
      </c>
      <c r="E91" s="25">
        <v>50</v>
      </c>
      <c r="F91" s="25">
        <v>50</v>
      </c>
      <c r="G91" s="25">
        <v>50</v>
      </c>
      <c r="H91" s="25">
        <v>50</v>
      </c>
      <c r="I91" s="25">
        <v>50</v>
      </c>
      <c r="J91" s="25">
        <v>50</v>
      </c>
      <c r="K91" s="25">
        <v>50</v>
      </c>
      <c r="L91" s="25">
        <v>50</v>
      </c>
      <c r="M91" s="25">
        <v>50</v>
      </c>
      <c r="N91" s="25">
        <v>50</v>
      </c>
      <c r="O91" s="25">
        <v>50</v>
      </c>
      <c r="P91" s="25">
        <f>SUM(D91:O91)</f>
      </c>
    </row>
    <row r="92" ht="20" customHeight="1" spans="1:16" x14ac:dyDescent="0.25">
      <c r="A92" s="26" t="s">
        <v>2</v>
      </c>
      <c r="B92" s="26" t="s">
        <v>2</v>
      </c>
      <c r="C92" s="14" t="s">
        <v>139</v>
      </c>
      <c r="D92" s="25">
        <v>50</v>
      </c>
      <c r="E92" s="25">
        <v>50</v>
      </c>
      <c r="F92" s="25">
        <v>50</v>
      </c>
      <c r="G92" s="25">
        <v>50</v>
      </c>
      <c r="H92" s="25">
        <v>50</v>
      </c>
      <c r="I92" s="25">
        <v>50</v>
      </c>
      <c r="J92" s="25">
        <v>50</v>
      </c>
      <c r="K92" s="25">
        <v>11.1</v>
      </c>
      <c r="L92" s="25">
        <v>0</v>
      </c>
      <c r="M92" s="25">
        <v>0</v>
      </c>
      <c r="N92" s="25">
        <v>0</v>
      </c>
      <c r="O92" s="25">
        <v>0</v>
      </c>
      <c r="P92" s="25">
        <f>SUM(D92:O92)</f>
      </c>
    </row>
    <row r="93" ht="20" customHeight="1" spans="1:16" x14ac:dyDescent="0.25">
      <c r="A93" s="26" t="s">
        <v>2</v>
      </c>
      <c r="B93" s="26" t="s">
        <v>2</v>
      </c>
      <c r="C93" s="14" t="s">
        <v>140</v>
      </c>
      <c r="D93" s="25">
        <v>6</v>
      </c>
      <c r="E93" s="25">
        <v>6</v>
      </c>
      <c r="F93" s="25">
        <v>6</v>
      </c>
      <c r="G93" s="25">
        <v>6</v>
      </c>
      <c r="H93" s="25">
        <v>6</v>
      </c>
      <c r="I93" s="25">
        <v>6</v>
      </c>
      <c r="J93" s="25">
        <v>6</v>
      </c>
      <c r="K93" s="25">
        <v>0.13</v>
      </c>
      <c r="L93" s="25">
        <v>0</v>
      </c>
      <c r="M93" s="25">
        <v>0</v>
      </c>
      <c r="N93" s="25">
        <v>0</v>
      </c>
      <c r="O93" s="25">
        <v>0</v>
      </c>
      <c r="P93" s="25">
        <f>SUM(D93:O93)</f>
      </c>
    </row>
    <row r="94" ht="20" customHeight="1" spans="1:16" x14ac:dyDescent="0.25">
      <c r="A94" s="23">
        <v>31</v>
      </c>
      <c r="B94" s="24" t="s">
        <v>170</v>
      </c>
      <c r="C94" s="14" t="s">
        <v>138</v>
      </c>
      <c r="D94" s="25">
        <v>3000</v>
      </c>
      <c r="E94" s="25">
        <v>3000</v>
      </c>
      <c r="F94" s="25">
        <v>3000</v>
      </c>
      <c r="G94" s="25">
        <v>3000</v>
      </c>
      <c r="H94" s="25">
        <v>3000</v>
      </c>
      <c r="I94" s="25">
        <v>3000</v>
      </c>
      <c r="J94" s="25">
        <v>3000</v>
      </c>
      <c r="K94" s="25">
        <v>3000</v>
      </c>
      <c r="L94" s="25">
        <v>3000</v>
      </c>
      <c r="M94" s="25">
        <v>3000</v>
      </c>
      <c r="N94" s="25">
        <v>3000</v>
      </c>
      <c r="O94" s="25">
        <v>3000</v>
      </c>
      <c r="P94" s="25">
        <f>SUM(D94:O94)</f>
      </c>
    </row>
    <row r="95" ht="20" customHeight="1" spans="1:16" x14ac:dyDescent="0.25">
      <c r="A95" s="26" t="s">
        <v>2</v>
      </c>
      <c r="B95" s="26" t="s">
        <v>2</v>
      </c>
      <c r="C95" s="14" t="s">
        <v>139</v>
      </c>
      <c r="D95" s="25">
        <v>3000</v>
      </c>
      <c r="E95" s="25">
        <v>3000</v>
      </c>
      <c r="F95" s="25">
        <v>3000</v>
      </c>
      <c r="G95" s="25">
        <v>3000</v>
      </c>
      <c r="H95" s="25">
        <v>3000</v>
      </c>
      <c r="I95" s="25">
        <v>3000</v>
      </c>
      <c r="J95" s="25">
        <v>3000</v>
      </c>
      <c r="K95" s="25">
        <v>7386</v>
      </c>
      <c r="L95" s="25">
        <v>0</v>
      </c>
      <c r="M95" s="25">
        <v>0</v>
      </c>
      <c r="N95" s="25">
        <v>0</v>
      </c>
      <c r="O95" s="25">
        <v>0</v>
      </c>
      <c r="P95" s="25">
        <f>SUM(D95:O95)</f>
      </c>
    </row>
    <row r="96" ht="20" customHeight="1" spans="1:16" x14ac:dyDescent="0.25">
      <c r="A96" s="26" t="s">
        <v>2</v>
      </c>
      <c r="B96" s="26" t="s">
        <v>2</v>
      </c>
      <c r="C96" s="14" t="s">
        <v>140</v>
      </c>
      <c r="D96" s="25">
        <v>360</v>
      </c>
      <c r="E96" s="25">
        <v>360</v>
      </c>
      <c r="F96" s="25">
        <v>360</v>
      </c>
      <c r="G96" s="25">
        <v>360</v>
      </c>
      <c r="H96" s="25">
        <v>360</v>
      </c>
      <c r="I96" s="25">
        <v>360</v>
      </c>
      <c r="J96" s="25">
        <v>360</v>
      </c>
      <c r="K96" s="25">
        <v>288</v>
      </c>
      <c r="L96" s="25">
        <v>0</v>
      </c>
      <c r="M96" s="25">
        <v>0</v>
      </c>
      <c r="N96" s="25">
        <v>0</v>
      </c>
      <c r="O96" s="25">
        <v>0</v>
      </c>
      <c r="P96" s="25">
        <f>SUM(D96:O96)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2026-10-01T07:22:12Z</dcterms:created>
  <dcterms:modified xsi:type="dcterms:W3CDTF">2026-10-01T07:22:12Z</dcterms:modified>
</cp:coreProperties>
</file>