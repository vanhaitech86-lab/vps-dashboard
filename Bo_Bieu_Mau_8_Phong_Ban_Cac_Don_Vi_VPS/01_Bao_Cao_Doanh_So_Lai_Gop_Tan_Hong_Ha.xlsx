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<sst xmlns="http://schemas.openxmlformats.org/spreadsheetml/2006/main" count="176" uniqueCount="104">
  <si>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</si>
  <si>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</si>
  <si>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</si>
  <si>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</si>
  <si>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</si>
  <si>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</si>
  <si>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</si>
  <si>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</si>
  <si>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</si>
  <si>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</si>
  <si>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</si>
  <si>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</si>
  <si>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</si>
  <si>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</si>
  <si>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</si>
  <si>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</si>
  <si>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</si>
  <si>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</si>
  <si>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</si>
  <si>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</si>
  <si>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</si>
  <si>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</si>
  <si>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</si>
  <si>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</si>
  <si>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CÔNG TY TÂN HỒNG HÀ (THH)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</si>
  <si>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</si>
  <si>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</si>
  <si>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</si>
  <si>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</si>
  <si>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</si>
  <si>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</si>
  <si>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</si>
  <si>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</si>
  <si>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</si>
  <si>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</si>
  <si>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</si>
  <si>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</si>
  <si>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</si>
  <si>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</si>
  <si>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</si>
  <si>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</si>
  <si>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</si>
  <si>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</si>
  <si>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</si>
  <si>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</si>
  <si>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Kinh doanh bán buôn</t>
  </si>
  <si>
    <t>Phân phối đại lý miền Bắc</t>
  </si>
  <si>
    <t>THUÊ MÁY</t>
  </si>
  <si>
    <t>Thuê máy kỹ thuật &amp; KD thuê máy</t>
  </si>
  <si>
    <t xml:space="preserve">    • Thuê máy Tân Hồng Hà</t>
  </si>
  <si>
    <t>Cho thuê máy photocopy miền Bắc</t>
  </si>
  <si>
    <t>DỊCH VỤ</t>
  </si>
  <si>
    <t>DVKT, Tổ dịch vụ, mực in, metercharge</t>
  </si>
  <si>
    <t xml:space="preserve">    • Tổ Dịch vụ THH</t>
  </si>
  <si>
    <t>Bảo trì bảo dưỡng sửa chữa</t>
  </si>
  <si>
    <t xml:space="preserve">    • Tổ mực in THH</t>
  </si>
  <si>
    <t>Cung cấp thay thế mực in</t>
  </si>
  <si>
    <t xml:space="preserve">    • Metercharge THH</t>
  </si>
  <si>
    <t>Dịch vụ thu phí bản in chụp</t>
  </si>
  <si>
    <t>KINH DOANH ONLINE</t>
  </si>
  <si>
    <t>E-commerce, Shopee-Online, trực tuyến</t>
  </si>
  <si>
    <t xml:space="preserve">    • Kinh doanh Online THH</t>
  </si>
  <si>
    <t>Bán hàng trực tuyến</t>
  </si>
  <si>
    <t>DỰ ÁN</t>
  </si>
  <si>
    <t>Dự án văn phòng, CNTT, thiết bị</t>
  </si>
  <si>
    <t xml:space="preserve">    • Dự án Tân Hồng Hà</t>
  </si>
  <si>
    <t>Dự án thầu thiết bị miền Bắc</t>
  </si>
  <si>
    <t>KINH DOANH TỔNG HỢP</t>
  </si>
  <si>
    <t>Kinh doanh tổng hợp thương mại</t>
  </si>
  <si>
    <t xml:space="preserve">    • Kinh doanh tổng hợp THH</t>
  </si>
  <si>
    <t>Thương mại tổng hợp</t>
  </si>
  <si>
    <t>KINH DOANH LẺ</t>
  </si>
  <si>
    <t>Cửa hàng, bán máy lẻ, showroom</t>
  </si>
  <si>
    <t xml:space="preserve">    • [THH] (Điền thêm mảng kinh doanh nếu có phát sinh...)</t>
  </si>
  <si>
    <t>KINH DOANH KHÁC</t>
  </si>
  <si>
    <t>Bán nội bộ, thương mại khác, xuất khẩu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</si>
  <si>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</si>
  <si>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</si>
  <si>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</si>
  <si>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</si>
  <si>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</si>
  <si>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</si>
  <si>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</si>
  <si>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</si>
  <si>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</si>
  <si>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</si>
  <si>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</si>
  <si>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</si>
  <si>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</si>
  <si>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</si>
  <si>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</si>
  <si>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</si>
  <si>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</si>
  <si>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Kinh doanh bán buôn</t>
  </si>
  <si>
    <t>DS Kế hoạch</t>
  </si>
  <si>
    <t>DS Thực tế</t>
  </si>
  <si>
    <t>Lãi gộp Thực tế</t>
  </si>
  <si>
    <t>Thuê máy Tân Hồng Hà</t>
  </si>
  <si>
    <t>Tổ Dịch vụ THH</t>
  </si>
  <si>
    <t>Tổ mực in THH</t>
  </si>
  <si>
    <t>Metercharge THH</t>
  </si>
  <si>
    <t>Kinh doanh Online THH</t>
  </si>
  <si>
    <t>Dự án Tân Hồng Hà</t>
  </si>
  <si>
    <t>Kinh doanh tổng hợp THH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</si>
</sst>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SUM(C7:C7)</f>
      </c>
      <c r="D6" s="11">
        <f>SUM(D7:D7)</f>
      </c>
      <c r="E6" s="12">
        <f>IF(C6=0, 0, D6/C6)</f>
      </c>
      <c r="F6" s="11">
        <f>SUM(F7:F7)</f>
      </c>
      <c r="G6" s="11">
        <f>SUM(G7:G7)</f>
      </c>
      <c r="H6" s="12">
        <f>IF(F6=0, 0, G6/F6)</f>
      </c>
      <c r="I6" s="12">
        <f>IF(D6=0, 0, G6/D6)</f>
      </c>
      <c r="J6" s="11">
        <f>SUM(J7:J7)</f>
      </c>
      <c r="K6" s="11">
        <f>SUM(K7:K7)</f>
      </c>
      <c r="L6" s="12">
        <f>IF(J6=0, 0, K6/J6)</f>
      </c>
      <c r="M6" s="11">
        <f>SUM(M7:M7)</f>
      </c>
      <c r="N6" s="11">
        <f>SUM(N7:N7)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3750</v>
      </c>
      <c r="D7" s="16">
        <v>5135</v>
      </c>
      <c r="E7" s="17">
        <f>IF(C7=0, 0, D7/C7)</f>
      </c>
      <c r="F7" s="16">
        <v>375</v>
      </c>
      <c r="G7" s="16">
        <v>572</v>
      </c>
      <c r="H7" s="17">
        <f>IF(F7=0, 0, G7/F7)</f>
      </c>
      <c r="I7" s="17">
        <f>IF(D7=0, 0, G7/D7)</f>
      </c>
      <c r="J7" s="16">
        <v>45000</v>
      </c>
      <c r="K7" s="16">
        <v>29250</v>
      </c>
      <c r="L7" s="17">
        <f>IF(J7=0, 0, K7/J7)</f>
      </c>
      <c r="M7" s="16">
        <v>4500</v>
      </c>
      <c r="N7" s="16">
        <v>2790</v>
      </c>
      <c r="O7" s="17">
        <f>IF(M7=0, 0, N7/M7)</f>
      </c>
      <c r="P7" s="17">
        <f>IF(K7=0, 0, N7/K7)</f>
      </c>
      <c r="Q7" s="14" t="s">
        <v>46</v>
      </c>
    </row>
    <row r="8" ht="26" customHeight="1" spans="1:17" x14ac:dyDescent="0.25">
      <c r="A8" s="9">
        <v>2</v>
      </c>
      <c r="B8" s="10" t="s">
        <v>47</v>
      </c>
      <c r="C8" s="11">
        <f>SUM(C9:C9)</f>
      </c>
      <c r="D8" s="11">
        <f>SUM(D9:D9)</f>
      </c>
      <c r="E8" s="12">
        <f>IF(C8=0, 0, D8/C8)</f>
      </c>
      <c r="F8" s="11">
        <f>SUM(F9:F9)</f>
      </c>
      <c r="G8" s="11">
        <f>SUM(G9:G9)</f>
      </c>
      <c r="H8" s="12">
        <f>IF(F8=0, 0, G8/F8)</f>
      </c>
      <c r="I8" s="12">
        <f>IF(D8=0, 0, G8/D8)</f>
      </c>
      <c r="J8" s="11">
        <f>SUM(J9:J9)</f>
      </c>
      <c r="K8" s="11">
        <f>SUM(K9:K9)</f>
      </c>
      <c r="L8" s="12">
        <f>IF(J8=0, 0, K8/J8)</f>
      </c>
      <c r="M8" s="11">
        <f>SUM(M9:M9)</f>
      </c>
      <c r="N8" s="11">
        <f>SUM(N9:N9)</f>
      </c>
      <c r="O8" s="12">
        <f>IF(M8=0, 0, N8/M8)</f>
      </c>
      <c r="P8" s="12">
        <f>IF(K8=0, 0, N8/K8)</f>
      </c>
      <c r="Q8" s="13" t="s">
        <v>48</v>
      </c>
    </row>
    <row r="9" ht="22" customHeight="1" spans="1:17" x14ac:dyDescent="0.25">
      <c r="A9" s="14" t="s">
        <v>2</v>
      </c>
      <c r="B9" s="15" t="s">
        <v>49</v>
      </c>
      <c r="C9" s="16">
        <v>583</v>
      </c>
      <c r="D9" s="16">
        <v>650</v>
      </c>
      <c r="E9" s="17">
        <f>IF(C9=0, 0, D9/C9)</f>
      </c>
      <c r="F9" s="16">
        <v>204</v>
      </c>
      <c r="G9" s="16">
        <v>233</v>
      </c>
      <c r="H9" s="17">
        <f>IF(F9=0, 0, G9/F9)</f>
      </c>
      <c r="I9" s="17">
        <f>IF(D9=0, 0, G9/D9)</f>
      </c>
      <c r="J9" s="16">
        <v>7000</v>
      </c>
      <c r="K9" s="16">
        <v>4550</v>
      </c>
      <c r="L9" s="17">
        <f>IF(J9=0, 0, K9/J9)</f>
      </c>
      <c r="M9" s="16">
        <v>2450</v>
      </c>
      <c r="N9" s="16">
        <v>1519</v>
      </c>
      <c r="O9" s="17">
        <f>IF(M9=0, 0, N9/M9)</f>
      </c>
      <c r="P9" s="17">
        <f>IF(K9=0, 0, N9/K9)</f>
      </c>
      <c r="Q9" s="14" t="s">
        <v>50</v>
      </c>
    </row>
    <row r="10" ht="26" customHeight="1" spans="1:17" x14ac:dyDescent="0.25">
      <c r="A10" s="9">
        <v>3</v>
      </c>
      <c r="B10" s="10" t="s">
        <v>51</v>
      </c>
      <c r="C10" s="11">
        <f>SUM(C11:C13)</f>
      </c>
      <c r="D10" s="11">
        <f>SUM(D11:D13)</f>
      </c>
      <c r="E10" s="12">
        <f>IF(C10=0, 0, D10/C10)</f>
      </c>
      <c r="F10" s="11">
        <f>SUM(F11:F13)</f>
      </c>
      <c r="G10" s="11">
        <f>SUM(G11:G13)</f>
      </c>
      <c r="H10" s="12">
        <f>IF(F10=0, 0, G10/F10)</f>
      </c>
      <c r="I10" s="12">
        <f>IF(D10=0, 0, G10/D10)</f>
      </c>
      <c r="J10" s="11">
        <f>SUM(J11:J13)</f>
      </c>
      <c r="K10" s="11">
        <f>SUM(K11:K13)</f>
      </c>
      <c r="L10" s="12">
        <f>IF(J10=0, 0, K10/J10)</f>
      </c>
      <c r="M10" s="11">
        <f>SUM(M11:M13)</f>
      </c>
      <c r="N10" s="11">
        <f>SUM(N11:N13)</f>
      </c>
      <c r="O10" s="12">
        <f>IF(M10=0, 0, N10/M10)</f>
      </c>
      <c r="P10" s="12">
        <f>IF(K10=0, 0, N10/K10)</f>
      </c>
      <c r="Q10" s="13" t="s">
        <v>52</v>
      </c>
    </row>
    <row r="11" ht="22" customHeight="1" spans="1:17" x14ac:dyDescent="0.25">
      <c r="A11" s="14" t="s">
        <v>2</v>
      </c>
      <c r="B11" s="15" t="s">
        <v>53</v>
      </c>
      <c r="C11" s="16">
        <v>1167</v>
      </c>
      <c r="D11" s="16">
        <v>959</v>
      </c>
      <c r="E11" s="17">
        <f>IF(C11=0, 0, D11/C11)</f>
      </c>
      <c r="F11" s="16">
        <v>443</v>
      </c>
      <c r="G11" s="16">
        <v>281</v>
      </c>
      <c r="H11" s="17">
        <f>IF(F11=0, 0, G11/F11)</f>
      </c>
      <c r="I11" s="17">
        <f>IF(D11=0, 0, G11/D11)</f>
      </c>
      <c r="J11" s="16">
        <v>14000</v>
      </c>
      <c r="K11" s="16">
        <v>9100</v>
      </c>
      <c r="L11" s="17">
        <f>IF(J11=0, 0, K11/J11)</f>
      </c>
      <c r="M11" s="16">
        <v>5320</v>
      </c>
      <c r="N11" s="16">
        <v>3298</v>
      </c>
      <c r="O11" s="17">
        <f>IF(M11=0, 0, N11/M11)</f>
      </c>
      <c r="P11" s="17">
        <f>IF(K11=0, 0, N11/K11)</f>
      </c>
      <c r="Q11" s="14" t="s">
        <v>54</v>
      </c>
    </row>
    <row r="12" ht="22" customHeight="1" spans="1:17" x14ac:dyDescent="0.25">
      <c r="A12" s="14" t="s">
        <v>2</v>
      </c>
      <c r="B12" s="15" t="s">
        <v>55</v>
      </c>
      <c r="C12" s="16">
        <v>292</v>
      </c>
      <c r="D12" s="16">
        <v>354</v>
      </c>
      <c r="E12" s="17">
        <f>IF(C12=0, 0, D12/C12)</f>
      </c>
      <c r="F12" s="16">
        <v>123</v>
      </c>
      <c r="G12" s="16">
        <v>196</v>
      </c>
      <c r="H12" s="17">
        <f>IF(F12=0, 0, G12/F12)</f>
      </c>
      <c r="I12" s="17">
        <f>IF(D12=0, 0, G12/D12)</f>
      </c>
      <c r="J12" s="16">
        <v>3500</v>
      </c>
      <c r="K12" s="16">
        <v>2275</v>
      </c>
      <c r="L12" s="17">
        <f>IF(J12=0, 0, K12/J12)</f>
      </c>
      <c r="M12" s="16">
        <v>1470</v>
      </c>
      <c r="N12" s="16">
        <v>911</v>
      </c>
      <c r="O12" s="17">
        <f>IF(M12=0, 0, N12/M12)</f>
      </c>
      <c r="P12" s="17">
        <f>IF(K12=0, 0, N12/K12)</f>
      </c>
      <c r="Q12" s="14" t="s">
        <v>56</v>
      </c>
    </row>
    <row r="13" ht="22" customHeight="1" spans="1:17" x14ac:dyDescent="0.25">
      <c r="A13" s="14" t="s">
        <v>2</v>
      </c>
      <c r="B13" s="15" t="s">
        <v>57</v>
      </c>
      <c r="C13" s="16">
        <v>208</v>
      </c>
      <c r="D13" s="16">
        <v>233</v>
      </c>
      <c r="E13" s="17">
        <f>IF(C13=0, 0, D13/C13)</f>
      </c>
      <c r="F13" s="16">
        <v>104</v>
      </c>
      <c r="G13" s="16">
        <v>141</v>
      </c>
      <c r="H13" s="17">
        <f>IF(F13=0, 0, G13/F13)</f>
      </c>
      <c r="I13" s="17">
        <f>IF(D13=0, 0, G13/D13)</f>
      </c>
      <c r="J13" s="16">
        <v>2500</v>
      </c>
      <c r="K13" s="16">
        <v>1625</v>
      </c>
      <c r="L13" s="17">
        <f>IF(J13=0, 0, K13/J13)</f>
      </c>
      <c r="M13" s="16">
        <v>1250</v>
      </c>
      <c r="N13" s="16">
        <v>775</v>
      </c>
      <c r="O13" s="17">
        <f>IF(M13=0, 0, N13/M13)</f>
      </c>
      <c r="P13" s="17">
        <f>IF(K13=0, 0, N13/K13)</f>
      </c>
      <c r="Q13" s="14" t="s">
        <v>58</v>
      </c>
    </row>
    <row r="14" ht="26" customHeight="1" spans="1:17" x14ac:dyDescent="0.25">
      <c r="A14" s="9">
        <v>4</v>
      </c>
      <c r="B14" s="10" t="s">
        <v>59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60</v>
      </c>
    </row>
    <row r="15" ht="22" customHeight="1" spans="1:17" x14ac:dyDescent="0.25">
      <c r="A15" s="14" t="s">
        <v>2</v>
      </c>
      <c r="B15" s="15" t="s">
        <v>61</v>
      </c>
      <c r="C15" s="16">
        <v>125</v>
      </c>
      <c r="D15" s="16">
        <v>102</v>
      </c>
      <c r="E15" s="17">
        <f>IF(C15=0, 0, D15/C15)</f>
      </c>
      <c r="F15" s="16">
        <v>6</v>
      </c>
      <c r="G15" s="16">
        <v>0</v>
      </c>
      <c r="H15" s="17">
        <f>IF(F15=0, 0, G15/F15)</f>
      </c>
      <c r="I15" s="17">
        <f>IF(D15=0, 0, G15/D15)</f>
      </c>
      <c r="J15" s="16">
        <v>1500</v>
      </c>
      <c r="K15" s="16">
        <v>975</v>
      </c>
      <c r="L15" s="17">
        <f>IF(J15=0, 0, K15/J15)</f>
      </c>
      <c r="M15" s="16">
        <v>75</v>
      </c>
      <c r="N15" s="16">
        <v>47</v>
      </c>
      <c r="O15" s="17">
        <f>IF(M15=0, 0, N15/M15)</f>
      </c>
      <c r="P15" s="17">
        <f>IF(K15=0, 0, N15/K15)</f>
      </c>
      <c r="Q15" s="14" t="s">
        <v>62</v>
      </c>
    </row>
    <row r="16" ht="26" customHeight="1" spans="1:17" x14ac:dyDescent="0.25">
      <c r="A16" s="9">
        <v>5</v>
      </c>
      <c r="B16" s="10" t="s">
        <v>63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64</v>
      </c>
    </row>
    <row r="17" ht="22" customHeight="1" spans="1:17" x14ac:dyDescent="0.25">
      <c r="A17" s="14" t="s">
        <v>2</v>
      </c>
      <c r="B17" s="15" t="s">
        <v>65</v>
      </c>
      <c r="C17" s="16">
        <v>1833</v>
      </c>
      <c r="D17" s="16">
        <v>1415</v>
      </c>
      <c r="E17" s="17">
        <f>IF(C17=0, 0, D17/C17)</f>
      </c>
      <c r="F17" s="16">
        <v>733</v>
      </c>
      <c r="G17" s="16">
        <v>310</v>
      </c>
      <c r="H17" s="17">
        <f>IF(F17=0, 0, G17/F17)</f>
      </c>
      <c r="I17" s="17">
        <f>IF(D17=0, 0, G17/D17)</f>
      </c>
      <c r="J17" s="16">
        <v>22000</v>
      </c>
      <c r="K17" s="16">
        <v>14300</v>
      </c>
      <c r="L17" s="17">
        <f>IF(J17=0, 0, K17/J17)</f>
      </c>
      <c r="M17" s="16">
        <v>8800</v>
      </c>
      <c r="N17" s="16">
        <v>5456</v>
      </c>
      <c r="O17" s="17">
        <f>IF(M17=0, 0, N17/M17)</f>
      </c>
      <c r="P17" s="17">
        <f>IF(K17=0, 0, N17/K17)</f>
      </c>
      <c r="Q17" s="14" t="s">
        <v>66</v>
      </c>
    </row>
    <row r="18" ht="26" customHeight="1" spans="1:17" x14ac:dyDescent="0.25">
      <c r="A18" s="9">
        <v>6</v>
      </c>
      <c r="B18" s="10" t="s">
        <v>67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68</v>
      </c>
    </row>
    <row r="19" ht="22" customHeight="1" spans="1:17" x14ac:dyDescent="0.25">
      <c r="A19" s="14" t="s">
        <v>2</v>
      </c>
      <c r="B19" s="15" t="s">
        <v>69</v>
      </c>
      <c r="C19" s="16">
        <v>1875</v>
      </c>
      <c r="D19" s="16">
        <v>1248</v>
      </c>
      <c r="E19" s="17">
        <f>IF(C19=0, 0, D19/C19)</f>
      </c>
      <c r="F19" s="16">
        <v>188</v>
      </c>
      <c r="G19" s="16">
        <v>177</v>
      </c>
      <c r="H19" s="17">
        <f>IF(F19=0, 0, G19/F19)</f>
      </c>
      <c r="I19" s="17">
        <f>IF(D19=0, 0, G19/D19)</f>
      </c>
      <c r="J19" s="16">
        <v>22500</v>
      </c>
      <c r="K19" s="16">
        <v>14625</v>
      </c>
      <c r="L19" s="17">
        <f>IF(J19=0, 0, K19/J19)</f>
      </c>
      <c r="M19" s="16">
        <v>2250</v>
      </c>
      <c r="N19" s="16">
        <v>1395</v>
      </c>
      <c r="O19" s="17">
        <f>IF(M19=0, 0, N19/M19)</f>
      </c>
      <c r="P19" s="17">
        <f>IF(K19=0, 0, N19/K19)</f>
      </c>
      <c r="Q19" s="14" t="s">
        <v>70</v>
      </c>
    </row>
    <row r="20" ht="26" customHeight="1" spans="1:17" x14ac:dyDescent="0.25">
      <c r="A20" s="9">
        <v>7</v>
      </c>
      <c r="B20" s="10" t="s">
        <v>71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72</v>
      </c>
    </row>
    <row r="21" ht="22" customHeight="1" spans="1:17" x14ac:dyDescent="0.25">
      <c r="A21" s="14" t="s">
        <v>2</v>
      </c>
      <c r="B21" s="18" t="s">
        <v>73</v>
      </c>
      <c r="C21" s="16">
        <v>0</v>
      </c>
      <c r="D21" s="16">
        <v>0</v>
      </c>
      <c r="E21" s="17">
        <f>IF(C21=0, 0, D21/C21)</f>
      </c>
      <c r="F21" s="16">
        <v>0</v>
      </c>
      <c r="G21" s="16">
        <v>0</v>
      </c>
      <c r="H21" s="17">
        <f>IF(F21=0, 0, G21/F21)</f>
      </c>
      <c r="I21" s="17">
        <f>IF(D21=0, 0, G21/D21)</f>
      </c>
      <c r="J21" s="16">
        <v>0</v>
      </c>
      <c r="K21" s="16">
        <v>0</v>
      </c>
      <c r="L21" s="17">
        <f>IF(J21=0, 0, K21/J21)</f>
      </c>
      <c r="M21" s="16">
        <v>0</v>
      </c>
      <c r="N21" s="16">
        <v>0</v>
      </c>
      <c r="O21" s="17">
        <f>IF(M21=0, 0, N21/M21)</f>
      </c>
      <c r="P21" s="17">
        <f>IF(K21=0, 0, N21/K21)</f>
      </c>
      <c r="Q21" s="14" t="s">
        <v>2</v>
      </c>
    </row>
    <row r="22" ht="26" customHeight="1" spans="1:17" x14ac:dyDescent="0.25">
      <c r="A22" s="9">
        <v>8</v>
      </c>
      <c r="B22" s="10" t="s">
        <v>74</v>
      </c>
      <c r="C22" s="11">
        <f>SUM(C23:C23)</f>
      </c>
      <c r="D22" s="11">
        <f>SUM(D23:D23)</f>
      </c>
      <c r="E22" s="12">
        <f>IF(C22=0, 0, D22/C22)</f>
      </c>
      <c r="F22" s="11">
        <f>SUM(F23:F23)</f>
      </c>
      <c r="G22" s="11">
        <f>SUM(G23:G23)</f>
      </c>
      <c r="H22" s="12">
        <f>IF(F22=0, 0, G22/F22)</f>
      </c>
      <c r="I22" s="12">
        <f>IF(D22=0, 0, G22/D22)</f>
      </c>
      <c r="J22" s="11">
        <f>SUM(J23:J23)</f>
      </c>
      <c r="K22" s="11">
        <f>SUM(K23:K23)</f>
      </c>
      <c r="L22" s="12">
        <f>IF(J22=0, 0, K22/J22)</f>
      </c>
      <c r="M22" s="11">
        <f>SUM(M23:M23)</f>
      </c>
      <c r="N22" s="11">
        <f>SUM(N23:N23)</f>
      </c>
      <c r="O22" s="12">
        <f>IF(M22=0, 0, N22/M22)</f>
      </c>
      <c r="P22" s="12">
        <f>IF(K22=0, 0, N22/K22)</f>
      </c>
      <c r="Q22" s="13" t="s">
        <v>75</v>
      </c>
    </row>
    <row r="23" ht="22" customHeight="1" spans="1:17" x14ac:dyDescent="0.25">
      <c r="A23" s="14" t="s">
        <v>2</v>
      </c>
      <c r="B23" s="18" t="s">
        <v>73</v>
      </c>
      <c r="C23" s="16">
        <v>0</v>
      </c>
      <c r="D23" s="16">
        <v>0</v>
      </c>
      <c r="E23" s="17">
        <f>IF(C23=0, 0, D23/C23)</f>
      </c>
      <c r="F23" s="16">
        <v>0</v>
      </c>
      <c r="G23" s="16">
        <v>0</v>
      </c>
      <c r="H23" s="17">
        <f>IF(F23=0, 0, G23/F23)</f>
      </c>
      <c r="I23" s="17">
        <f>IF(D23=0, 0, G23/D23)</f>
      </c>
      <c r="J23" s="16">
        <v>0</v>
      </c>
      <c r="K23" s="16">
        <v>0</v>
      </c>
      <c r="L23" s="17">
        <f>IF(J23=0, 0, K23/J23)</f>
      </c>
      <c r="M23" s="16">
        <v>0</v>
      </c>
      <c r="N23" s="16">
        <v>0</v>
      </c>
      <c r="O23" s="17">
        <f>IF(M23=0, 0, N23/M23)</f>
      </c>
      <c r="P23" s="17">
        <f>IF(K23=0, 0, N23/K23)</f>
      </c>
      <c r="Q23" s="14" t="s">
        <v>2</v>
      </c>
    </row>
    <row r="24" ht="30" customHeight="1" spans="1:17" x14ac:dyDescent="0.25">
      <c r="A24" s="19" t="s">
        <v>2</v>
      </c>
      <c r="B24" s="20" t="s">
        <v>76</v>
      </c>
      <c r="C24" s="21">
        <f>C6+C8+C10+C14+C16+C18+C20+C22</f>
      </c>
      <c r="D24" s="21">
        <f>D6+D8+D10+D14+D16+D18+D20+D22</f>
      </c>
      <c r="E24" s="22">
        <f>IF(C24=0, 0, D24/C24)</f>
      </c>
      <c r="F24" s="21">
        <f>F6+F8+F10+F14+F16+F18+F20+F22</f>
      </c>
      <c r="G24" s="21">
        <f>G6+G8+G10+G14+G16+G18+G20+G22</f>
      </c>
      <c r="H24" s="22">
        <f>IF(F24=0, 0, G24/F24)</f>
      </c>
      <c r="I24" s="22">
        <f>IF(D24=0, 0, G24/D24)</f>
      </c>
      <c r="J24" s="21">
        <f>J6+J8+J10+J14+J16+J18+J20+J22</f>
      </c>
      <c r="K24" s="21">
        <f>K6+K8+K10+K14+K16+K18+K20+K22</f>
      </c>
      <c r="L24" s="22">
        <f>IF(J24=0, 0, K24/J24)</f>
      </c>
      <c r="M24" s="21">
        <f>M6+M8+M10+M14+M16+M18+M20+M22</f>
      </c>
      <c r="N24" s="21">
        <f>N6+N8+N10+N14+N16+N18+N20+N22</f>
      </c>
      <c r="O24" s="22">
        <f>IF(M24=0, 0, N24/M24)</f>
      </c>
      <c r="P24" s="22">
        <f>IF(K24=0, 0, N24/K24)</f>
      </c>
      <c r="Q24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78</v>
      </c>
      <c r="C3" s="23" t="s">
        <v>79</v>
      </c>
      <c r="D3" s="23" t="s">
        <v>80</v>
      </c>
      <c r="E3" s="23" t="s">
        <v>81</v>
      </c>
      <c r="F3" s="23" t="s">
        <v>82</v>
      </c>
      <c r="G3" s="23" t="s">
        <v>83</v>
      </c>
      <c r="H3" s="23" t="s">
        <v>84</v>
      </c>
      <c r="I3" s="23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3" t="s">
        <v>91</v>
      </c>
      <c r="P3" s="23" t="s">
        <v>92</v>
      </c>
    </row>
    <row r="4" ht="20" customHeight="1" spans="1:16" x14ac:dyDescent="0.25">
      <c r="A4" s="24">
        <v>1</v>
      </c>
      <c r="B4" s="25" t="s">
        <v>93</v>
      </c>
      <c r="C4" s="14" t="s">
        <v>94</v>
      </c>
      <c r="D4" s="26">
        <v>3750</v>
      </c>
      <c r="E4" s="26">
        <v>3750</v>
      </c>
      <c r="F4" s="26">
        <v>3750</v>
      </c>
      <c r="G4" s="26">
        <v>3750</v>
      </c>
      <c r="H4" s="26">
        <v>3750</v>
      </c>
      <c r="I4" s="26">
        <v>3750</v>
      </c>
      <c r="J4" s="26">
        <v>3750</v>
      </c>
      <c r="K4" s="26">
        <v>3750</v>
      </c>
      <c r="L4" s="26">
        <v>3750</v>
      </c>
      <c r="M4" s="26">
        <v>3750</v>
      </c>
      <c r="N4" s="26">
        <v>3750</v>
      </c>
      <c r="O4" s="26">
        <v>3750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95</v>
      </c>
      <c r="D5" s="26">
        <v>3750</v>
      </c>
      <c r="E5" s="26">
        <v>3750</v>
      </c>
      <c r="F5" s="26">
        <v>3750</v>
      </c>
      <c r="G5" s="26">
        <v>3750</v>
      </c>
      <c r="H5" s="26">
        <v>3750</v>
      </c>
      <c r="I5" s="26">
        <v>3750</v>
      </c>
      <c r="J5" s="26">
        <v>3750</v>
      </c>
      <c r="K5" s="26">
        <v>5135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96</v>
      </c>
      <c r="D6" s="26">
        <v>375</v>
      </c>
      <c r="E6" s="26">
        <v>375</v>
      </c>
      <c r="F6" s="26">
        <v>375</v>
      </c>
      <c r="G6" s="26">
        <v>375</v>
      </c>
      <c r="H6" s="26">
        <v>375</v>
      </c>
      <c r="I6" s="26">
        <v>375</v>
      </c>
      <c r="J6" s="26">
        <v>375</v>
      </c>
      <c r="K6" s="26">
        <v>572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  <row r="7" ht="20" customHeight="1" spans="1:16" x14ac:dyDescent="0.25">
      <c r="A7" s="24">
        <v>2</v>
      </c>
      <c r="B7" s="25" t="s">
        <v>97</v>
      </c>
      <c r="C7" s="14" t="s">
        <v>94</v>
      </c>
      <c r="D7" s="26">
        <v>583</v>
      </c>
      <c r="E7" s="26">
        <v>583</v>
      </c>
      <c r="F7" s="26">
        <v>583</v>
      </c>
      <c r="G7" s="26">
        <v>583</v>
      </c>
      <c r="H7" s="26">
        <v>583</v>
      </c>
      <c r="I7" s="26">
        <v>583</v>
      </c>
      <c r="J7" s="26">
        <v>583</v>
      </c>
      <c r="K7" s="26">
        <v>583</v>
      </c>
      <c r="L7" s="26">
        <v>583</v>
      </c>
      <c r="M7" s="26">
        <v>583</v>
      </c>
      <c r="N7" s="26">
        <v>583</v>
      </c>
      <c r="O7" s="26">
        <v>583</v>
      </c>
      <c r="P7" s="26">
        <f>SUM(D7:O7)</f>
      </c>
    </row>
    <row r="8" ht="20" customHeight="1" spans="1:16" x14ac:dyDescent="0.25">
      <c r="A8" s="27" t="s">
        <v>2</v>
      </c>
      <c r="B8" s="27" t="s">
        <v>2</v>
      </c>
      <c r="C8" s="14" t="s">
        <v>95</v>
      </c>
      <c r="D8" s="26">
        <v>583</v>
      </c>
      <c r="E8" s="26">
        <v>583</v>
      </c>
      <c r="F8" s="26">
        <v>583</v>
      </c>
      <c r="G8" s="26">
        <v>583</v>
      </c>
      <c r="H8" s="26">
        <v>583</v>
      </c>
      <c r="I8" s="26">
        <v>583</v>
      </c>
      <c r="J8" s="26">
        <v>583</v>
      </c>
      <c r="K8" s="26">
        <v>650</v>
      </c>
      <c r="L8" s="26">
        <v>0</v>
      </c>
      <c r="M8" s="26">
        <v>0</v>
      </c>
      <c r="N8" s="26">
        <v>0</v>
      </c>
      <c r="O8" s="26">
        <v>0</v>
      </c>
      <c r="P8" s="26">
        <f>SUM(D8:O8)</f>
      </c>
    </row>
    <row r="9" ht="20" customHeight="1" spans="1:16" x14ac:dyDescent="0.25">
      <c r="A9" s="27" t="s">
        <v>2</v>
      </c>
      <c r="B9" s="27" t="s">
        <v>2</v>
      </c>
      <c r="C9" s="14" t="s">
        <v>96</v>
      </c>
      <c r="D9" s="26">
        <v>204</v>
      </c>
      <c r="E9" s="26">
        <v>204</v>
      </c>
      <c r="F9" s="26">
        <v>204</v>
      </c>
      <c r="G9" s="26">
        <v>204</v>
      </c>
      <c r="H9" s="26">
        <v>204</v>
      </c>
      <c r="I9" s="26">
        <v>204</v>
      </c>
      <c r="J9" s="26">
        <v>204</v>
      </c>
      <c r="K9" s="26">
        <v>233</v>
      </c>
      <c r="L9" s="26">
        <v>0</v>
      </c>
      <c r="M9" s="26">
        <v>0</v>
      </c>
      <c r="N9" s="26">
        <v>0</v>
      </c>
      <c r="O9" s="26">
        <v>0</v>
      </c>
      <c r="P9" s="26">
        <f>SUM(D9:O9)</f>
      </c>
    </row>
    <row r="10" ht="20" customHeight="1" spans="1:16" x14ac:dyDescent="0.25">
      <c r="A10" s="24">
        <v>3</v>
      </c>
      <c r="B10" s="25" t="s">
        <v>98</v>
      </c>
      <c r="C10" s="14" t="s">
        <v>94</v>
      </c>
      <c r="D10" s="26">
        <v>1167</v>
      </c>
      <c r="E10" s="26">
        <v>1167</v>
      </c>
      <c r="F10" s="26">
        <v>1167</v>
      </c>
      <c r="G10" s="26">
        <v>1167</v>
      </c>
      <c r="H10" s="26">
        <v>1167</v>
      </c>
      <c r="I10" s="26">
        <v>1167</v>
      </c>
      <c r="J10" s="26">
        <v>1167</v>
      </c>
      <c r="K10" s="26">
        <v>1167</v>
      </c>
      <c r="L10" s="26">
        <v>1167</v>
      </c>
      <c r="M10" s="26">
        <v>1167</v>
      </c>
      <c r="N10" s="26">
        <v>1167</v>
      </c>
      <c r="O10" s="26">
        <v>1167</v>
      </c>
      <c r="P10" s="26">
        <f>SUM(D10:O10)</f>
      </c>
    </row>
    <row r="11" ht="20" customHeight="1" spans="1:16" x14ac:dyDescent="0.25">
      <c r="A11" s="27" t="s">
        <v>2</v>
      </c>
      <c r="B11" s="27" t="s">
        <v>2</v>
      </c>
      <c r="C11" s="14" t="s">
        <v>95</v>
      </c>
      <c r="D11" s="26">
        <v>1167</v>
      </c>
      <c r="E11" s="26">
        <v>1167</v>
      </c>
      <c r="F11" s="26">
        <v>1167</v>
      </c>
      <c r="G11" s="26">
        <v>1167</v>
      </c>
      <c r="H11" s="26">
        <v>1167</v>
      </c>
      <c r="I11" s="26">
        <v>1167</v>
      </c>
      <c r="J11" s="26">
        <v>1167</v>
      </c>
      <c r="K11" s="26">
        <v>959</v>
      </c>
      <c r="L11" s="26">
        <v>0</v>
      </c>
      <c r="M11" s="26">
        <v>0</v>
      </c>
      <c r="N11" s="26">
        <v>0</v>
      </c>
      <c r="O11" s="26">
        <v>0</v>
      </c>
      <c r="P11" s="26">
        <f>SUM(D11:O11)</f>
      </c>
    </row>
    <row r="12" ht="20" customHeight="1" spans="1:16" x14ac:dyDescent="0.25">
      <c r="A12" s="27" t="s">
        <v>2</v>
      </c>
      <c r="B12" s="27" t="s">
        <v>2</v>
      </c>
      <c r="C12" s="14" t="s">
        <v>96</v>
      </c>
      <c r="D12" s="26">
        <v>443</v>
      </c>
      <c r="E12" s="26">
        <v>443</v>
      </c>
      <c r="F12" s="26">
        <v>443</v>
      </c>
      <c r="G12" s="26">
        <v>443</v>
      </c>
      <c r="H12" s="26">
        <v>443</v>
      </c>
      <c r="I12" s="26">
        <v>443</v>
      </c>
      <c r="J12" s="26">
        <v>443</v>
      </c>
      <c r="K12" s="26">
        <v>281</v>
      </c>
      <c r="L12" s="26">
        <v>0</v>
      </c>
      <c r="M12" s="26">
        <v>0</v>
      </c>
      <c r="N12" s="26">
        <v>0</v>
      </c>
      <c r="O12" s="26">
        <v>0</v>
      </c>
      <c r="P12" s="26">
        <f>SUM(D12:O12)</f>
      </c>
    </row>
    <row r="13" ht="20" customHeight="1" spans="1:16" x14ac:dyDescent="0.25">
      <c r="A13" s="24">
        <v>4</v>
      </c>
      <c r="B13" s="25" t="s">
        <v>99</v>
      </c>
      <c r="C13" s="14" t="s">
        <v>94</v>
      </c>
      <c r="D13" s="26">
        <v>292</v>
      </c>
      <c r="E13" s="26">
        <v>292</v>
      </c>
      <c r="F13" s="26">
        <v>292</v>
      </c>
      <c r="G13" s="26">
        <v>292</v>
      </c>
      <c r="H13" s="26">
        <v>292</v>
      </c>
      <c r="I13" s="26">
        <v>292</v>
      </c>
      <c r="J13" s="26">
        <v>292</v>
      </c>
      <c r="K13" s="26">
        <v>292</v>
      </c>
      <c r="L13" s="26">
        <v>292</v>
      </c>
      <c r="M13" s="26">
        <v>292</v>
      </c>
      <c r="N13" s="26">
        <v>292</v>
      </c>
      <c r="O13" s="26">
        <v>292</v>
      </c>
      <c r="P13" s="26">
        <f>SUM(D13:O13)</f>
      </c>
    </row>
    <row r="14" ht="20" customHeight="1" spans="1:16" x14ac:dyDescent="0.25">
      <c r="A14" s="27" t="s">
        <v>2</v>
      </c>
      <c r="B14" s="27" t="s">
        <v>2</v>
      </c>
      <c r="C14" s="14" t="s">
        <v>95</v>
      </c>
      <c r="D14" s="26">
        <v>292</v>
      </c>
      <c r="E14" s="26">
        <v>292</v>
      </c>
      <c r="F14" s="26">
        <v>292</v>
      </c>
      <c r="G14" s="26">
        <v>292</v>
      </c>
      <c r="H14" s="26">
        <v>292</v>
      </c>
      <c r="I14" s="26">
        <v>292</v>
      </c>
      <c r="J14" s="26">
        <v>292</v>
      </c>
      <c r="K14" s="26">
        <v>354</v>
      </c>
      <c r="L14" s="26">
        <v>0</v>
      </c>
      <c r="M14" s="26">
        <v>0</v>
      </c>
      <c r="N14" s="26">
        <v>0</v>
      </c>
      <c r="O14" s="26">
        <v>0</v>
      </c>
      <c r="P14" s="26">
        <f>SUM(D14:O14)</f>
      </c>
    </row>
    <row r="15" ht="20" customHeight="1" spans="1:16" x14ac:dyDescent="0.25">
      <c r="A15" s="27" t="s">
        <v>2</v>
      </c>
      <c r="B15" s="27" t="s">
        <v>2</v>
      </c>
      <c r="C15" s="14" t="s">
        <v>96</v>
      </c>
      <c r="D15" s="26">
        <v>123</v>
      </c>
      <c r="E15" s="26">
        <v>123</v>
      </c>
      <c r="F15" s="26">
        <v>123</v>
      </c>
      <c r="G15" s="26">
        <v>123</v>
      </c>
      <c r="H15" s="26">
        <v>123</v>
      </c>
      <c r="I15" s="26">
        <v>123</v>
      </c>
      <c r="J15" s="26">
        <v>123</v>
      </c>
      <c r="K15" s="26">
        <v>196</v>
      </c>
      <c r="L15" s="26">
        <v>0</v>
      </c>
      <c r="M15" s="26">
        <v>0</v>
      </c>
      <c r="N15" s="26">
        <v>0</v>
      </c>
      <c r="O15" s="26">
        <v>0</v>
      </c>
      <c r="P15" s="26">
        <f>SUM(D15:O15)</f>
      </c>
    </row>
    <row r="16" ht="20" customHeight="1" spans="1:16" x14ac:dyDescent="0.25">
      <c r="A16" s="24">
        <v>5</v>
      </c>
      <c r="B16" s="25" t="s">
        <v>100</v>
      </c>
      <c r="C16" s="14" t="s">
        <v>94</v>
      </c>
      <c r="D16" s="26">
        <v>208</v>
      </c>
      <c r="E16" s="26">
        <v>208</v>
      </c>
      <c r="F16" s="26">
        <v>208</v>
      </c>
      <c r="G16" s="26">
        <v>208</v>
      </c>
      <c r="H16" s="26">
        <v>208</v>
      </c>
      <c r="I16" s="26">
        <v>208</v>
      </c>
      <c r="J16" s="26">
        <v>208</v>
      </c>
      <c r="K16" s="26">
        <v>208</v>
      </c>
      <c r="L16" s="26">
        <v>208</v>
      </c>
      <c r="M16" s="26">
        <v>208</v>
      </c>
      <c r="N16" s="26">
        <v>208</v>
      </c>
      <c r="O16" s="26">
        <v>208</v>
      </c>
      <c r="P16" s="26">
        <f>SUM(D16:O16)</f>
      </c>
    </row>
    <row r="17" ht="20" customHeight="1" spans="1:16" x14ac:dyDescent="0.25">
      <c r="A17" s="27" t="s">
        <v>2</v>
      </c>
      <c r="B17" s="27" t="s">
        <v>2</v>
      </c>
      <c r="C17" s="14" t="s">
        <v>95</v>
      </c>
      <c r="D17" s="26">
        <v>208</v>
      </c>
      <c r="E17" s="26">
        <v>208</v>
      </c>
      <c r="F17" s="26">
        <v>208</v>
      </c>
      <c r="G17" s="26">
        <v>208</v>
      </c>
      <c r="H17" s="26">
        <v>208</v>
      </c>
      <c r="I17" s="26">
        <v>208</v>
      </c>
      <c r="J17" s="26">
        <v>208</v>
      </c>
      <c r="K17" s="26">
        <v>233</v>
      </c>
      <c r="L17" s="26">
        <v>0</v>
      </c>
      <c r="M17" s="26">
        <v>0</v>
      </c>
      <c r="N17" s="26">
        <v>0</v>
      </c>
      <c r="O17" s="26">
        <v>0</v>
      </c>
      <c r="P17" s="26">
        <f>SUM(D17:O17)</f>
      </c>
    </row>
    <row r="18" ht="20" customHeight="1" spans="1:16" x14ac:dyDescent="0.25">
      <c r="A18" s="27" t="s">
        <v>2</v>
      </c>
      <c r="B18" s="27" t="s">
        <v>2</v>
      </c>
      <c r="C18" s="14" t="s">
        <v>96</v>
      </c>
      <c r="D18" s="26">
        <v>104</v>
      </c>
      <c r="E18" s="26">
        <v>104</v>
      </c>
      <c r="F18" s="26">
        <v>104</v>
      </c>
      <c r="G18" s="26">
        <v>104</v>
      </c>
      <c r="H18" s="26">
        <v>104</v>
      </c>
      <c r="I18" s="26">
        <v>104</v>
      </c>
      <c r="J18" s="26">
        <v>104</v>
      </c>
      <c r="K18" s="26">
        <v>141</v>
      </c>
      <c r="L18" s="26">
        <v>0</v>
      </c>
      <c r="M18" s="26">
        <v>0</v>
      </c>
      <c r="N18" s="26">
        <v>0</v>
      </c>
      <c r="O18" s="26">
        <v>0</v>
      </c>
      <c r="P18" s="26">
        <f>SUM(D18:O18)</f>
      </c>
    </row>
    <row r="19" ht="20" customHeight="1" spans="1:16" x14ac:dyDescent="0.25">
      <c r="A19" s="24">
        <v>6</v>
      </c>
      <c r="B19" s="25" t="s">
        <v>101</v>
      </c>
      <c r="C19" s="14" t="s">
        <v>94</v>
      </c>
      <c r="D19" s="26">
        <v>125</v>
      </c>
      <c r="E19" s="26">
        <v>125</v>
      </c>
      <c r="F19" s="26">
        <v>125</v>
      </c>
      <c r="G19" s="26">
        <v>125</v>
      </c>
      <c r="H19" s="26">
        <v>125</v>
      </c>
      <c r="I19" s="26">
        <v>125</v>
      </c>
      <c r="J19" s="26">
        <v>125</v>
      </c>
      <c r="K19" s="26">
        <v>125</v>
      </c>
      <c r="L19" s="26">
        <v>125</v>
      </c>
      <c r="M19" s="26">
        <v>125</v>
      </c>
      <c r="N19" s="26">
        <v>125</v>
      </c>
      <c r="O19" s="26">
        <v>125</v>
      </c>
      <c r="P19" s="26">
        <f>SUM(D19:O19)</f>
      </c>
    </row>
    <row r="20" ht="20" customHeight="1" spans="1:16" x14ac:dyDescent="0.25">
      <c r="A20" s="27" t="s">
        <v>2</v>
      </c>
      <c r="B20" s="27" t="s">
        <v>2</v>
      </c>
      <c r="C20" s="14" t="s">
        <v>95</v>
      </c>
      <c r="D20" s="26">
        <v>125</v>
      </c>
      <c r="E20" s="26">
        <v>125</v>
      </c>
      <c r="F20" s="26">
        <v>125</v>
      </c>
      <c r="G20" s="26">
        <v>125</v>
      </c>
      <c r="H20" s="26">
        <v>125</v>
      </c>
      <c r="I20" s="26">
        <v>125</v>
      </c>
      <c r="J20" s="26">
        <v>125</v>
      </c>
      <c r="K20" s="26">
        <v>102</v>
      </c>
      <c r="L20" s="26">
        <v>0</v>
      </c>
      <c r="M20" s="26">
        <v>0</v>
      </c>
      <c r="N20" s="26">
        <v>0</v>
      </c>
      <c r="O20" s="26">
        <v>0</v>
      </c>
      <c r="P20" s="26">
        <f>SUM(D20:O20)</f>
      </c>
    </row>
    <row r="21" ht="20" customHeight="1" spans="1:16" x14ac:dyDescent="0.25">
      <c r="A21" s="27" t="s">
        <v>2</v>
      </c>
      <c r="B21" s="27" t="s">
        <v>2</v>
      </c>
      <c r="C21" s="14" t="s">
        <v>96</v>
      </c>
      <c r="D21" s="26">
        <v>6</v>
      </c>
      <c r="E21" s="26">
        <v>6</v>
      </c>
      <c r="F21" s="26">
        <v>6</v>
      </c>
      <c r="G21" s="26">
        <v>6</v>
      </c>
      <c r="H21" s="26">
        <v>6</v>
      </c>
      <c r="I21" s="26">
        <v>6</v>
      </c>
      <c r="J21" s="26">
        <v>6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f>SUM(D21:O21)</f>
      </c>
    </row>
    <row r="22" ht="20" customHeight="1" spans="1:16" x14ac:dyDescent="0.25">
      <c r="A22" s="24">
        <v>7</v>
      </c>
      <c r="B22" s="25" t="s">
        <v>102</v>
      </c>
      <c r="C22" s="14" t="s">
        <v>94</v>
      </c>
      <c r="D22" s="26">
        <v>1833</v>
      </c>
      <c r="E22" s="26">
        <v>1833</v>
      </c>
      <c r="F22" s="26">
        <v>1833</v>
      </c>
      <c r="G22" s="26">
        <v>1833</v>
      </c>
      <c r="H22" s="26">
        <v>1833</v>
      </c>
      <c r="I22" s="26">
        <v>1833</v>
      </c>
      <c r="J22" s="26">
        <v>1833</v>
      </c>
      <c r="K22" s="26">
        <v>1833</v>
      </c>
      <c r="L22" s="26">
        <v>1833</v>
      </c>
      <c r="M22" s="26">
        <v>1833</v>
      </c>
      <c r="N22" s="26">
        <v>1833</v>
      </c>
      <c r="O22" s="26">
        <v>1833</v>
      </c>
      <c r="P22" s="26">
        <f>SUM(D22:O22)</f>
      </c>
    </row>
    <row r="23" ht="20" customHeight="1" spans="1:16" x14ac:dyDescent="0.25">
      <c r="A23" s="27" t="s">
        <v>2</v>
      </c>
      <c r="B23" s="27" t="s">
        <v>2</v>
      </c>
      <c r="C23" s="14" t="s">
        <v>95</v>
      </c>
      <c r="D23" s="26">
        <v>1833</v>
      </c>
      <c r="E23" s="26">
        <v>1833</v>
      </c>
      <c r="F23" s="26">
        <v>1833</v>
      </c>
      <c r="G23" s="26">
        <v>1833</v>
      </c>
      <c r="H23" s="26">
        <v>1833</v>
      </c>
      <c r="I23" s="26">
        <v>1833</v>
      </c>
      <c r="J23" s="26">
        <v>1833</v>
      </c>
      <c r="K23" s="26">
        <v>1415</v>
      </c>
      <c r="L23" s="26">
        <v>0</v>
      </c>
      <c r="M23" s="26">
        <v>0</v>
      </c>
      <c r="N23" s="26">
        <v>0</v>
      </c>
      <c r="O23" s="26">
        <v>0</v>
      </c>
      <c r="P23" s="26">
        <f>SUM(D23:O23)</f>
      </c>
    </row>
    <row r="24" ht="20" customHeight="1" spans="1:16" x14ac:dyDescent="0.25">
      <c r="A24" s="27" t="s">
        <v>2</v>
      </c>
      <c r="B24" s="27" t="s">
        <v>2</v>
      </c>
      <c r="C24" s="14" t="s">
        <v>96</v>
      </c>
      <c r="D24" s="26">
        <v>733</v>
      </c>
      <c r="E24" s="26">
        <v>733</v>
      </c>
      <c r="F24" s="26">
        <v>733</v>
      </c>
      <c r="G24" s="26">
        <v>733</v>
      </c>
      <c r="H24" s="26">
        <v>733</v>
      </c>
      <c r="I24" s="26">
        <v>733</v>
      </c>
      <c r="J24" s="26">
        <v>733</v>
      </c>
      <c r="K24" s="26">
        <v>310</v>
      </c>
      <c r="L24" s="26">
        <v>0</v>
      </c>
      <c r="M24" s="26">
        <v>0</v>
      </c>
      <c r="N24" s="26">
        <v>0</v>
      </c>
      <c r="O24" s="26">
        <v>0</v>
      </c>
      <c r="P24" s="26">
        <f>SUM(D24:O24)</f>
      </c>
    </row>
    <row r="25" ht="20" customHeight="1" spans="1:16" x14ac:dyDescent="0.25">
      <c r="A25" s="24">
        <v>8</v>
      </c>
      <c r="B25" s="25" t="s">
        <v>103</v>
      </c>
      <c r="C25" s="14" t="s">
        <v>94</v>
      </c>
      <c r="D25" s="26">
        <v>1875</v>
      </c>
      <c r="E25" s="26">
        <v>1875</v>
      </c>
      <c r="F25" s="26">
        <v>1875</v>
      </c>
      <c r="G25" s="26">
        <v>1875</v>
      </c>
      <c r="H25" s="26">
        <v>1875</v>
      </c>
      <c r="I25" s="26">
        <v>1875</v>
      </c>
      <c r="J25" s="26">
        <v>1875</v>
      </c>
      <c r="K25" s="26">
        <v>1875</v>
      </c>
      <c r="L25" s="26">
        <v>1875</v>
      </c>
      <c r="M25" s="26">
        <v>1875</v>
      </c>
      <c r="N25" s="26">
        <v>1875</v>
      </c>
      <c r="O25" s="26">
        <v>1875</v>
      </c>
      <c r="P25" s="26">
        <f>SUM(D25:O25)</f>
      </c>
    </row>
    <row r="26" ht="20" customHeight="1" spans="1:16" x14ac:dyDescent="0.25">
      <c r="A26" s="27" t="s">
        <v>2</v>
      </c>
      <c r="B26" s="27" t="s">
        <v>2</v>
      </c>
      <c r="C26" s="14" t="s">
        <v>95</v>
      </c>
      <c r="D26" s="26">
        <v>1875</v>
      </c>
      <c r="E26" s="26">
        <v>1875</v>
      </c>
      <c r="F26" s="26">
        <v>1875</v>
      </c>
      <c r="G26" s="26">
        <v>1875</v>
      </c>
      <c r="H26" s="26">
        <v>1875</v>
      </c>
      <c r="I26" s="26">
        <v>1875</v>
      </c>
      <c r="J26" s="26">
        <v>1875</v>
      </c>
      <c r="K26" s="26">
        <v>1248</v>
      </c>
      <c r="L26" s="26">
        <v>0</v>
      </c>
      <c r="M26" s="26">
        <v>0</v>
      </c>
      <c r="N26" s="26">
        <v>0</v>
      </c>
      <c r="O26" s="26">
        <v>0</v>
      </c>
      <c r="P26" s="26">
        <f>SUM(D26:O26)</f>
      </c>
    </row>
    <row r="27" ht="20" customHeight="1" spans="1:16" x14ac:dyDescent="0.25">
      <c r="A27" s="27" t="s">
        <v>2</v>
      </c>
      <c r="B27" s="27" t="s">
        <v>2</v>
      </c>
      <c r="C27" s="14" t="s">
        <v>96</v>
      </c>
      <c r="D27" s="26">
        <v>188</v>
      </c>
      <c r="E27" s="26">
        <v>188</v>
      </c>
      <c r="F27" s="26">
        <v>188</v>
      </c>
      <c r="G27" s="26">
        <v>188</v>
      </c>
      <c r="H27" s="26">
        <v>188</v>
      </c>
      <c r="I27" s="26">
        <v>188</v>
      </c>
      <c r="J27" s="26">
        <v>188</v>
      </c>
      <c r="K27" s="26">
        <v>177</v>
      </c>
      <c r="L27" s="26">
        <v>0</v>
      </c>
      <c r="M27" s="26">
        <v>0</v>
      </c>
      <c r="N27" s="26">
        <v>0</v>
      </c>
      <c r="O27" s="26">
        <v>0</v>
      </c>
      <c r="P27" s="26">
        <f>SUM(D27:O27)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