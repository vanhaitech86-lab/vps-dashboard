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Huong_Dan" state="visible" r:id="rId4"/>
    <sheet sheetId="2" name="Bao_Cao_Thang" state="visible" r:id="rId5"/>
    <sheet sheetId="3" name="12_Thang_Chi_Tiet" state="visible" r:id="rId6"/>
  </sheets>
  <calcPr calcId="171027"/>
</workbook>
</file>

<file path=xl/sharedStrings.xml><?xml version="1.0" encoding="utf-8"?>
<sst xmlns="http://schemas.openxmlformats.org/spreadsheetml/2006/main" count="184" uniqueCount="107">
  <si>
    <t>TẬP ĐOÀN VPS - HƯỚNG DẪN VÀ QUY ĐỊNH NHẬP LIỆU BÁO CÁO 8 MẢNG KINH DOANH</t>
  </si>
  <si>
    <t>Hệ thống quản trị tài chính &amp; điều hành doanh số - lãi gộp chuẩn hóa</t>
  </si>
  <si>
    <t/>
  </si>
  <si>
    <t>1. DANH MỤC 8 PHÒNG BAN / MẢNG KINH DOANH CHUẨN HÓA:</t>
  </si>
  <si>
    <t xml:space="preserve">   1. Kinh doanh phân phối: Bán buôn máy móc, thiết bị, vật tư, linh kiện, đại lý sỉ toàn quốc.</t>
  </si>
  <si>
    <t xml:space="preserve">   2. Thuê máy: Dịch vụ cho thuê máy photocopy, máy in kỹ thuật &amp; kinh doanh hợp đồng thuê máy.</t>
  </si>
  <si>
    <t xml:space="preserve">   3. Dịch vụ: Tổ dịch vụ kỹ thuật sửa chữa, nạp mực in, hợp đồng bảo trì trọn gói, Metercharge.</t>
  </si>
  <si>
    <t xml:space="preserve">   4. Kinh doanh online: Kênh thương mại điện tử (Shopee, Lazada, TikTok Shop), website trực tuyến.</t>
  </si>
  <si>
    <t xml:space="preserve">   5. Dự án: Dự án đấu thầu cung cấp thiết bị văn phòng, giải pháp CNTT, hệ thống mạng.</t>
  </si>
  <si>
    <t xml:space="preserve">   6. Kinh doanh tổng hợp (KDTH): Hoạt động thương mại kinh doanh tổng hợp của các đơn vị.</t>
  </si>
  <si>
    <t xml:space="preserve">   7. Kinh doanh lẻ (MỤC MỚI): Bán máy lẻ, bán hàng trực tiếp tại showroom, cửa hàng bán lẻ điểm bán.</t>
  </si>
  <si>
    <t xml:space="preserve">   8. Kinh doanh khác (MỤC MỚI): Hoạt động bán nội bộ tập đoàn, xuất khẩu, thương mại khác.</t>
  </si>
  <si>
    <t>2. NGUYÊN TẮC NHẬP LIỆU &amp; ĐƠN VỊ TÍNH:</t>
  </si>
  <si>
    <t xml:space="preserve">   - Đơn vị tính: Triệu VNĐ (Ví dụ: 2 tỷ 500 triệu đồng -&gt; Nhập số nguyên hoặc thập phân: 2500).</t>
  </si>
  <si>
    <t xml:space="preserve">   - Không nhập chữ 'đ', 'triệu', 'vnd' vào ô tính để tránh làm hỏng công thức Excel.</t>
  </si>
  <si>
    <t xml:space="preserve">   - Các dòng TÊN PHÒNG BAN (Màu xám) và dòng TỔNG CỘNG (Màu vàng) ĐÃ CÀI SẴN CÔNG THỨC SUM TỰ ĐỘNG.</t>
  </si>
  <si>
    <t xml:space="preserve">   - Các đơn vị chỉ nhập liệu vào các CỘT THỰC TẾ (DS TH Tháng, LG TH Tháng, DS TH Năm LK, LG TH Năm LK) ở các DÒNG MẢNG CON.</t>
  </si>
  <si>
    <t xml:space="preserve">   - Tỷ lệ % Đạt doanh số, % Đạt lãi gộp, % Tỷ lệ lãi gộp (LG/DS) sẽ TỰ ĐỘNG TÍNH TOÁN THEO CÔNG THỨC.</t>
  </si>
  <si>
    <t>3. TÍCH HỢP &amp; ĐỒNG BỘ LÊN DASHBOARD ĐIỀU HÀNH VPS:</t>
  </si>
  <si>
    <t xml:space="preserve">   - Tải file Excel này lên thư mục Google Drive của đơn vị thành viên.</t>
  </si>
  <si>
    <t xml:space="preserve">   - Mở dưới dạng Google Trang Tính (Google Sheets) và chọn Chia sẻ ở chế độ: 'Bất kỳ ai có liên kết đều có thể xem'.</t>
  </si>
  <si>
    <t xml:space="preserve">   - Gửi ID trang tính cho Quản trị viên Tập đoàn để liên kết dữ liệu tự động theo thời gian thực (Real-time Sync).</t>
  </si>
  <si>
    <t>BAN CÔNG NGHỆ &amp; TỔNG GIÁM ĐỐC ĐIỀU HÀNH - TẬP ĐOÀN VPS GROUP</t>
  </si>
  <si>
    <t>BÁO CÁO DOANH SỐ VÀ LÃI GỘP 8 PHÒNG BAN / MẢNG KINH DOANH - TẬP ĐOÀN VPS</t>
  </si>
  <si>
    <t>Đơn vị: CÔNG TY XEM SƠN (XESCO) (XemSon)  |  Kỳ báo cáo: Tháng 8/2026 (Chốt sổ) &amp; Kế hoạch năm 2026</t>
  </si>
  <si>
    <t>Đơn vị tính: Triệu VNĐ  |  Quy tắc: Nhập số liệu vào các dòng mảng con, dòng tổng phòng ban tự động tính công thức</t>
  </si>
  <si>
    <t>STT</t>
  </si>
  <si>
    <t>PHÒNG BAN / MẢNG KINH DOANH</t>
  </si>
  <si>
    <t>DS KH THÁNG</t>
  </si>
  <si>
    <t>DS TH THÁNG</t>
  </si>
  <si>
    <t>% ĐẠT DS THÁNG</t>
  </si>
  <si>
    <t>LG KH THÁNG</t>
  </si>
  <si>
    <t>LG TH THÁNG</t>
  </si>
  <si>
    <t>% ĐẠT LG THÁNG</t>
  </si>
  <si>
    <t>% TỶ LỆ LG</t>
  </si>
  <si>
    <t>DS KH NĂM</t>
  </si>
  <si>
    <t>DS TH NĂM LK</t>
  </si>
  <si>
    <t>% ĐẠT DS NĂM</t>
  </si>
  <si>
    <t>LG KH NĂM</t>
  </si>
  <si>
    <t>LG TH NĂM LK</t>
  </si>
  <si>
    <t>% ĐẠT LG NĂM</t>
  </si>
  <si>
    <t>% LG NĂM LK</t>
  </si>
  <si>
    <t>GHI CHÚ / GIẢI TRÌNH</t>
  </si>
  <si>
    <t>KINH DOANH PHÂN PHỐI</t>
  </si>
  <si>
    <t>Bán buôn máy, linh kiện, KD sỉ</t>
  </si>
  <si>
    <t xml:space="preserve">    • Kinh doanh bán buôn (KD Sỉ)</t>
  </si>
  <si>
    <t>Phân phối đại lý miền Nam</t>
  </si>
  <si>
    <t>THUÊ MÁY</t>
  </si>
  <si>
    <t>Thuê máy kỹ thuật &amp; KD thuê máy</t>
  </si>
  <si>
    <t xml:space="preserve">    • Kỹ thuật thuê máy (KT)</t>
  </si>
  <si>
    <t>Máy thuê kỹ thuật Xesco</t>
  </si>
  <si>
    <t xml:space="preserve">    • KD Thuê máy (Thương mại)</t>
  </si>
  <si>
    <t>Hợp đồng thuê máy mới</t>
  </si>
  <si>
    <t>DỊCH VỤ</t>
  </si>
  <si>
    <t>DVKT, Tổ dịch vụ, mực in, metercharge</t>
  </si>
  <si>
    <t xml:space="preserve">    • Dịch vụ kỹ thuật Xem Sơn</t>
  </si>
  <si>
    <t>Kỹ thuật dịch vụ máy VP</t>
  </si>
  <si>
    <t xml:space="preserve">    • Metercharge Xem Sơn</t>
  </si>
  <si>
    <t>Dịch vụ Metercharge Xesco</t>
  </si>
  <si>
    <t>KINH DOANH ONLINE</t>
  </si>
  <si>
    <t>E-commerce, Shopee-Online, trực tuyến</t>
  </si>
  <si>
    <t xml:space="preserve">    • KD Online Xem Sơn</t>
  </si>
  <si>
    <t>Thương mại điện tử Xesco</t>
  </si>
  <si>
    <t>DỰ ÁN</t>
  </si>
  <si>
    <t>Dự án văn phòng, CNTT, thiết bị</t>
  </si>
  <si>
    <t xml:space="preserve">    • Dự án Xesco</t>
  </si>
  <si>
    <t>Gói thầu thiết bị miền Nam</t>
  </si>
  <si>
    <t>KINH DOANH TỔNG HỢP</t>
  </si>
  <si>
    <t>Kinh doanh tổng hợp thương mại</t>
  </si>
  <si>
    <t xml:space="preserve">    • Kinh doanh tổng hợp Xem Sơn</t>
  </si>
  <si>
    <t>Thương mại tổng hợp</t>
  </si>
  <si>
    <t>KINH DOANH LẺ</t>
  </si>
  <si>
    <t>Cửa hàng, bán máy lẻ, showroom</t>
  </si>
  <si>
    <t xml:space="preserve">    • Bán máy lẻ Xem Sơn</t>
  </si>
  <si>
    <t>Bán lẻ thiết bị văn phòng</t>
  </si>
  <si>
    <t>KINH DOANH KHÁC</t>
  </si>
  <si>
    <t>Bán nội bộ, thương mại khác, xuất khẩu</t>
  </si>
  <si>
    <t xml:space="preserve">    • [XemSon] (Điền thêm mảng kinh doanh nếu có phát sinh...)</t>
  </si>
  <si>
    <t>TỔNG CỘNG TOÀN BỘ CÁC MẢNG</t>
  </si>
  <si>
    <t>BẢNG KẾ HOẠCH &amp; THEO DÕI THỰC TẾ 12 THÁNG NĂM 2026 - 8 MẢNG KINH DOANH</t>
  </si>
  <si>
    <t>PHÒNG BAN / MẢNG KD</t>
  </si>
  <si>
    <t>CHỈ TIÊU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</si>
  <si>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</si>
  <si>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</si>
  <si>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</si>
  <si>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</si>
  <si>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</si>
  <si>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</si>
  <si>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</si>
  <si>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</si>
  <si>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</si>
  <si>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</si>
  <si>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</si>
  <si>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</si>
  <si>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CẢ NĂM 2026</t>
  </si>
  <si>
    <t>Kinh doanh bán buôn (KD Sỉ)</t>
  </si>
  <si>
    <t>DS Kế hoạch</t>
  </si>
  <si>
    <t>DS Thực tế</t>
  </si>
  <si>
    <t>Lãi gộp Thực tế</t>
  </si>
  <si>
    <t>Kỹ thuật thuê máy (KT)</t>
  </si>
  <si>
    <t>KD Thuê máy (Thương mại)</t>
  </si>
  <si>
    <t>Dịch vụ kỹ thuật Xem Sơn</t>
  </si>
  <si>
    <t>Metercharge Xem Sơn</t>
  </si>
  <si>
    <t>KD Online Xem Sơn</t>
  </si>
  <si>
    <t>Dự án Xesco</t>
  </si>
  <si>
    <t>Kinh doanh tổng hợp Xem Sơn</t>
  </si>
  <si>
    <t>Bán máy lẻ Xem 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</si>
</sst>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color theme="1"/>
      <family val="2"/>
      <scheme val="minor"/>
      <sz val="11"/>
      <name val="Calibri"/>
    </font>
    <font>
      <b/>
      <color rgb="FF1E3A8A"/>
      <sz val="14"/>
      <name val="Calibri"/>
    </font>
    <font>
      <i/>
      <color rgb="FF475569"/>
      <sz val="10"/>
      <name val="Calibri"/>
    </font>
    <font>
      <b/>
      <color rgb="FF0F172A"/>
      <sz val="10"/>
      <name val="Calibri"/>
    </font>
    <font>
      <color rgb="FF1E293B"/>
      <sz val="10"/>
      <name val="Calibri"/>
    </font>
    <font>
      <b/>
      <color rgb="FF1E3A8A"/>
      <sz val="10"/>
      <name val="Calibri"/>
    </font>
    <font>
      <b/>
      <color rgb="FFFFFFFF"/>
      <sz val="10"/>
      <name val="Calibri"/>
    </font>
    <font>
      <i/>
      <color rgb="FF64748B"/>
      <sz val="9"/>
      <name val="Calibri"/>
    </font>
    <font>
      <b/>
      <color rgb="FF0F172A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2E8F0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8" fillId="4" borderId="2" xfId="0" applyFont="1" applyFill="1" applyBorder="1"/>
    <xf numFmtId="0" fontId="8" fillId="4" borderId="2" xfId="0" applyFont="1" applyFill="1" applyBorder="1" applyAlignment="1">
      <alignment horizontal="left" vertical="center"/>
    </xf>
    <xf numFmtId="3" fontId="8" fillId="4" borderId="2" xfId="0" applyNumberFormat="1" applyFont="1" applyFill="1" applyBorder="1" applyAlignment="1">
      <alignment horizontal="right" vertical="center"/>
    </xf>
    <xf numFmtId="164" fontId="8" fillId="4" borderId="2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3" fontId="0" fillId="0" borderId="1" xfId="0" applyNumberFormat="1" applyBorder="1" applyAlignment="1">
      <alignment horizontal="righ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defaultRowHeight="15" outlineLevelRow="0" outlineLevelCol="0" x14ac:dyDescent="55"/>
  <cols>
    <col min="1" max="1" width="110" customWidth="1"/>
  </cols>
  <sheetData>
    <row r="1" ht="20" customHeight="1" spans="1:1" x14ac:dyDescent="0.25">
      <c r="A1" s="1" t="s">
        <v>0</v>
      </c>
    </row>
    <row r="2" ht="20" customHeight="1" spans="1:1" x14ac:dyDescent="0.25">
      <c r="A2" s="2" t="s">
        <v>1</v>
      </c>
    </row>
    <row r="3" ht="20" customHeight="1" spans="1:1" x14ac:dyDescent="0.25">
      <c r="A3" s="2" t="s">
        <v>2</v>
      </c>
    </row>
    <row r="4" ht="20" customHeight="1" spans="1:1" x14ac:dyDescent="0.25">
      <c r="A4" s="3" t="s">
        <v>3</v>
      </c>
    </row>
    <row r="5" ht="20" customHeight="1" spans="1:1" x14ac:dyDescent="0.25">
      <c r="A5" s="4" t="s">
        <v>4</v>
      </c>
    </row>
    <row r="6" ht="20" customHeight="1" spans="1:1" x14ac:dyDescent="0.25">
      <c r="A6" s="4" t="s">
        <v>5</v>
      </c>
    </row>
    <row r="7" ht="20" customHeight="1" spans="1:1" x14ac:dyDescent="0.25">
      <c r="A7" s="4" t="s">
        <v>6</v>
      </c>
    </row>
    <row r="8" ht="20" customHeight="1" spans="1:1" x14ac:dyDescent="0.25">
      <c r="A8" s="4" t="s">
        <v>7</v>
      </c>
    </row>
    <row r="9" ht="20" customHeight="1" spans="1:1" x14ac:dyDescent="0.25">
      <c r="A9" s="4" t="s">
        <v>8</v>
      </c>
    </row>
    <row r="10" ht="20" customHeight="1" spans="1:1" x14ac:dyDescent="0.25">
      <c r="A10" s="4" t="s">
        <v>9</v>
      </c>
    </row>
    <row r="11" ht="20" customHeight="1" spans="1:1" x14ac:dyDescent="0.25">
      <c r="A11" s="4" t="s">
        <v>10</v>
      </c>
    </row>
    <row r="12" ht="20" customHeight="1" spans="1:1" x14ac:dyDescent="0.25">
      <c r="A12" s="4" t="s">
        <v>11</v>
      </c>
    </row>
    <row r="13" ht="20" customHeight="1" spans="1:1" x14ac:dyDescent="0.25">
      <c r="A13" s="2" t="s">
        <v>2</v>
      </c>
    </row>
    <row r="14" ht="20" customHeight="1" spans="1:1" x14ac:dyDescent="0.25">
      <c r="A14" s="3" t="s">
        <v>12</v>
      </c>
    </row>
    <row r="15" ht="20" customHeight="1" spans="1:1" x14ac:dyDescent="0.25">
      <c r="A15" s="4" t="s">
        <v>13</v>
      </c>
    </row>
    <row r="16" ht="20" customHeight="1" spans="1:1" x14ac:dyDescent="0.25">
      <c r="A16" s="4" t="s">
        <v>14</v>
      </c>
    </row>
    <row r="17" ht="20" customHeight="1" spans="1:1" x14ac:dyDescent="0.25">
      <c r="A17" s="4" t="s">
        <v>15</v>
      </c>
    </row>
    <row r="18" ht="20" customHeight="1" spans="1:1" x14ac:dyDescent="0.25">
      <c r="A18" s="4" t="s">
        <v>16</v>
      </c>
    </row>
    <row r="19" ht="20" customHeight="1" spans="1:1" x14ac:dyDescent="0.25">
      <c r="A19" s="4" t="s">
        <v>17</v>
      </c>
    </row>
    <row r="20" ht="20" customHeight="1" spans="1:1" x14ac:dyDescent="0.25">
      <c r="A20" s="2" t="s">
        <v>2</v>
      </c>
    </row>
    <row r="21" ht="20" customHeight="1" spans="1:1" x14ac:dyDescent="0.25">
      <c r="A21" s="3" t="s">
        <v>18</v>
      </c>
    </row>
    <row r="22" ht="20" customHeight="1" spans="1:1" x14ac:dyDescent="0.25">
      <c r="A22" s="4" t="s">
        <v>19</v>
      </c>
    </row>
    <row r="23" ht="20" customHeight="1" spans="1:1" x14ac:dyDescent="0.25">
      <c r="A23" s="4" t="s">
        <v>20</v>
      </c>
    </row>
    <row r="24" ht="20" customHeight="1" spans="1:1" x14ac:dyDescent="0.25">
      <c r="A24" s="4" t="s">
        <v>21</v>
      </c>
    </row>
    <row r="25" ht="20" customHeight="1" spans="1:1" x14ac:dyDescent="0.25">
      <c r="A25" s="2" t="s">
        <v>2</v>
      </c>
    </row>
    <row r="26" ht="20" customHeight="1" spans="1:1" x14ac:dyDescent="0.25">
      <c r="A26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/>
  </sheetViews>
  <sheetFormatPr defaultRowHeight="15" outlineLevelRow="0" outlineLevelCol="0" x14ac:dyDescent="55"/>
  <cols>
    <col min="1" max="1" width="6" customWidth="1"/>
    <col min="2" max="2" width="42" customWidth="1"/>
    <col min="3" max="8" width="16" customWidth="1"/>
    <col min="9" max="9" width="14" customWidth="1"/>
    <col min="10" max="15" width="16" customWidth="1"/>
    <col min="16" max="16" width="14" customWidth="1"/>
    <col min="17" max="17" width="32" customWidth="1"/>
  </cols>
  <sheetData>
    <row r="1" ht="30" customHeight="1" spans="1:17" x14ac:dyDescent="0.25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20" customHeight="1" spans="1:17" x14ac:dyDescent="0.2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ht="18" customHeight="1" spans="1:17" x14ac:dyDescent="0.25">
      <c r="A3" s="7" t="s">
        <v>25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5" ht="32" customHeight="1" spans="1:17" x14ac:dyDescent="0.25">
      <c r="A5" s="8" t="s">
        <v>26</v>
      </c>
      <c r="B5" s="8" t="s">
        <v>27</v>
      </c>
      <c r="C5" s="8" t="s">
        <v>28</v>
      </c>
      <c r="D5" s="8" t="s">
        <v>29</v>
      </c>
      <c r="E5" s="8" t="s">
        <v>30</v>
      </c>
      <c r="F5" s="8" t="s">
        <v>31</v>
      </c>
      <c r="G5" s="8" t="s">
        <v>32</v>
      </c>
      <c r="H5" s="8" t="s">
        <v>33</v>
      </c>
      <c r="I5" s="8" t="s">
        <v>34</v>
      </c>
      <c r="J5" s="8" t="s">
        <v>35</v>
      </c>
      <c r="K5" s="8" t="s">
        <v>36</v>
      </c>
      <c r="L5" s="8" t="s">
        <v>37</v>
      </c>
      <c r="M5" s="8" t="s">
        <v>38</v>
      </c>
      <c r="N5" s="8" t="s">
        <v>39</v>
      </c>
      <c r="O5" s="8" t="s">
        <v>40</v>
      </c>
      <c r="P5" s="8" t="s">
        <v>41</v>
      </c>
      <c r="Q5" s="8" t="s">
        <v>42</v>
      </c>
    </row>
    <row r="6" ht="26" customHeight="1" spans="1:17" x14ac:dyDescent="0.25">
      <c r="A6" s="9">
        <v>1</v>
      </c>
      <c r="B6" s="10" t="s">
        <v>43</v>
      </c>
      <c r="C6" s="11">
        <f>SUM(C7:C7)</f>
      </c>
      <c r="D6" s="11">
        <f>SUM(D7:D7)</f>
      </c>
      <c r="E6" s="12">
        <f>IF(C6=0, 0, D6/C6)</f>
      </c>
      <c r="F6" s="11">
        <f>SUM(F7:F7)</f>
      </c>
      <c r="G6" s="11">
        <f>SUM(G7:G7)</f>
      </c>
      <c r="H6" s="12">
        <f>IF(F6=0, 0, G6/F6)</f>
      </c>
      <c r="I6" s="12">
        <f>IF(D6=0, 0, G6/D6)</f>
      </c>
      <c r="J6" s="11">
        <f>SUM(J7:J7)</f>
      </c>
      <c r="K6" s="11">
        <f>SUM(K7:K7)</f>
      </c>
      <c r="L6" s="12">
        <f>IF(J6=0, 0, K6/J6)</f>
      </c>
      <c r="M6" s="11">
        <f>SUM(M7:M7)</f>
      </c>
      <c r="N6" s="11">
        <f>SUM(N7:N7)</f>
      </c>
      <c r="O6" s="12">
        <f>IF(M6=0, 0, N6/M6)</f>
      </c>
      <c r="P6" s="12">
        <f>IF(K6=0, 0, N6/K6)</f>
      </c>
      <c r="Q6" s="13" t="s">
        <v>44</v>
      </c>
    </row>
    <row r="7" ht="22" customHeight="1" spans="1:17" x14ac:dyDescent="0.25">
      <c r="A7" s="14" t="s">
        <v>2</v>
      </c>
      <c r="B7" s="15" t="s">
        <v>45</v>
      </c>
      <c r="C7" s="16">
        <v>5500</v>
      </c>
      <c r="D7" s="16">
        <v>4169</v>
      </c>
      <c r="E7" s="17">
        <f>IF(C7=0, 0, D7/C7)</f>
      </c>
      <c r="F7" s="16">
        <v>525</v>
      </c>
      <c r="G7" s="16">
        <v>682</v>
      </c>
      <c r="H7" s="17">
        <f>IF(F7=0, 0, G7/F7)</f>
      </c>
      <c r="I7" s="17">
        <f>IF(D7=0, 0, G7/D7)</f>
      </c>
      <c r="J7" s="16">
        <v>66000</v>
      </c>
      <c r="K7" s="16">
        <v>42900</v>
      </c>
      <c r="L7" s="17">
        <f>IF(J7=0, 0, K7/J7)</f>
      </c>
      <c r="M7" s="16">
        <v>6300</v>
      </c>
      <c r="N7" s="16">
        <v>3906</v>
      </c>
      <c r="O7" s="17">
        <f>IF(M7=0, 0, N7/M7)</f>
      </c>
      <c r="P7" s="17">
        <f>IF(K7=0, 0, N7/K7)</f>
      </c>
      <c r="Q7" s="14" t="s">
        <v>46</v>
      </c>
    </row>
    <row r="8" ht="26" customHeight="1" spans="1:17" x14ac:dyDescent="0.25">
      <c r="A8" s="9">
        <v>2</v>
      </c>
      <c r="B8" s="10" t="s">
        <v>47</v>
      </c>
      <c r="C8" s="11">
        <f>SUM(C9:C10)</f>
      </c>
      <c r="D8" s="11">
        <f>SUM(D9:D10)</f>
      </c>
      <c r="E8" s="12">
        <f>IF(C8=0, 0, D8/C8)</f>
      </c>
      <c r="F8" s="11">
        <f>SUM(F9:F10)</f>
      </c>
      <c r="G8" s="11">
        <f>SUM(G9:G10)</f>
      </c>
      <c r="H8" s="12">
        <f>IF(F8=0, 0, G8/F8)</f>
      </c>
      <c r="I8" s="12">
        <f>IF(D8=0, 0, G8/D8)</f>
      </c>
      <c r="J8" s="11">
        <f>SUM(J9:J10)</f>
      </c>
      <c r="K8" s="11">
        <f>SUM(K9:K10)</f>
      </c>
      <c r="L8" s="12">
        <f>IF(J8=0, 0, K8/J8)</f>
      </c>
      <c r="M8" s="11">
        <f>SUM(M9:M10)</f>
      </c>
      <c r="N8" s="11">
        <f>SUM(N9:N10)</f>
      </c>
      <c r="O8" s="12">
        <f>IF(M8=0, 0, N8/M8)</f>
      </c>
      <c r="P8" s="12">
        <f>IF(K8=0, 0, N8/K8)</f>
      </c>
      <c r="Q8" s="13" t="s">
        <v>48</v>
      </c>
    </row>
    <row r="9" ht="22" customHeight="1" spans="1:17" x14ac:dyDescent="0.25">
      <c r="A9" s="14" t="s">
        <v>2</v>
      </c>
      <c r="B9" s="15" t="s">
        <v>49</v>
      </c>
      <c r="C9" s="16">
        <v>2000</v>
      </c>
      <c r="D9" s="16">
        <v>1427</v>
      </c>
      <c r="E9" s="17">
        <f>IF(C9=0, 0, D9/C9)</f>
      </c>
      <c r="F9" s="16">
        <v>1213</v>
      </c>
      <c r="G9" s="16">
        <v>918</v>
      </c>
      <c r="H9" s="17">
        <f>IF(F9=0, 0, G9/F9)</f>
      </c>
      <c r="I9" s="17">
        <f>IF(D9=0, 0, G9/D9)</f>
      </c>
      <c r="J9" s="16">
        <v>24000</v>
      </c>
      <c r="K9" s="16">
        <v>15600</v>
      </c>
      <c r="L9" s="17">
        <f>IF(J9=0, 0, K9/J9)</f>
      </c>
      <c r="M9" s="16">
        <v>14560</v>
      </c>
      <c r="N9" s="16">
        <v>9027</v>
      </c>
      <c r="O9" s="17">
        <f>IF(M9=0, 0, N9/M9)</f>
      </c>
      <c r="P9" s="17">
        <f>IF(K9=0, 0, N9/K9)</f>
      </c>
      <c r="Q9" s="14" t="s">
        <v>50</v>
      </c>
    </row>
    <row r="10" ht="22" customHeight="1" spans="1:17" x14ac:dyDescent="0.25">
      <c r="A10" s="14" t="s">
        <v>2</v>
      </c>
      <c r="B10" s="15" t="s">
        <v>51</v>
      </c>
      <c r="C10" s="16">
        <v>1500</v>
      </c>
      <c r="D10" s="16">
        <v>381</v>
      </c>
      <c r="E10" s="17">
        <f>IF(C10=0, 0, D10/C10)</f>
      </c>
      <c r="F10" s="16">
        <v>910</v>
      </c>
      <c r="G10" s="16">
        <v>249</v>
      </c>
      <c r="H10" s="17">
        <f>IF(F10=0, 0, G10/F10)</f>
      </c>
      <c r="I10" s="17">
        <f>IF(D10=0, 0, G10/D10)</f>
      </c>
      <c r="J10" s="16">
        <v>18000</v>
      </c>
      <c r="K10" s="16">
        <v>11700</v>
      </c>
      <c r="L10" s="17">
        <f>IF(J10=0, 0, K10/J10)</f>
      </c>
      <c r="M10" s="16">
        <v>10920</v>
      </c>
      <c r="N10" s="16">
        <v>6770</v>
      </c>
      <c r="O10" s="17">
        <f>IF(M10=0, 0, N10/M10)</f>
      </c>
      <c r="P10" s="17">
        <f>IF(K10=0, 0, N10/K10)</f>
      </c>
      <c r="Q10" s="14" t="s">
        <v>52</v>
      </c>
    </row>
    <row r="11" ht="26" customHeight="1" spans="1:17" x14ac:dyDescent="0.25">
      <c r="A11" s="9">
        <v>3</v>
      </c>
      <c r="B11" s="10" t="s">
        <v>53</v>
      </c>
      <c r="C11" s="11">
        <f>SUM(C12:C13)</f>
      </c>
      <c r="D11" s="11">
        <f>SUM(D12:D13)</f>
      </c>
      <c r="E11" s="12">
        <f>IF(C11=0, 0, D11/C11)</f>
      </c>
      <c r="F11" s="11">
        <f>SUM(F12:F13)</f>
      </c>
      <c r="G11" s="11">
        <f>SUM(G12:G13)</f>
      </c>
      <c r="H11" s="12">
        <f>IF(F11=0, 0, G11/F11)</f>
      </c>
      <c r="I11" s="12">
        <f>IF(D11=0, 0, G11/D11)</f>
      </c>
      <c r="J11" s="11">
        <f>SUM(J12:J13)</f>
      </c>
      <c r="K11" s="11">
        <f>SUM(K12:K13)</f>
      </c>
      <c r="L11" s="12">
        <f>IF(J11=0, 0, K11/J11)</f>
      </c>
      <c r="M11" s="11">
        <f>SUM(M12:M13)</f>
      </c>
      <c r="N11" s="11">
        <f>SUM(N12:N13)</f>
      </c>
      <c r="O11" s="12">
        <f>IF(M11=0, 0, N11/M11)</f>
      </c>
      <c r="P11" s="12">
        <f>IF(K11=0, 0, N11/K11)</f>
      </c>
      <c r="Q11" s="13" t="s">
        <v>54</v>
      </c>
    </row>
    <row r="12" ht="22" customHeight="1" spans="1:17" x14ac:dyDescent="0.25">
      <c r="A12" s="14" t="s">
        <v>2</v>
      </c>
      <c r="B12" s="15" t="s">
        <v>55</v>
      </c>
      <c r="C12" s="16">
        <v>1833</v>
      </c>
      <c r="D12" s="16">
        <v>1439</v>
      </c>
      <c r="E12" s="17">
        <f>IF(C12=0, 0, D12/C12)</f>
      </c>
      <c r="F12" s="16">
        <v>605</v>
      </c>
      <c r="G12" s="16">
        <v>574</v>
      </c>
      <c r="H12" s="17">
        <f>IF(F12=0, 0, G12/F12)</f>
      </c>
      <c r="I12" s="17">
        <f>IF(D12=0, 0, G12/D12)</f>
      </c>
      <c r="J12" s="16">
        <v>22000</v>
      </c>
      <c r="K12" s="16">
        <v>14300</v>
      </c>
      <c r="L12" s="17">
        <f>IF(J12=0, 0, K12/J12)</f>
      </c>
      <c r="M12" s="16">
        <v>7260</v>
      </c>
      <c r="N12" s="16">
        <v>4501</v>
      </c>
      <c r="O12" s="17">
        <f>IF(M12=0, 0, N12/M12)</f>
      </c>
      <c r="P12" s="17">
        <f>IF(K12=0, 0, N12/K12)</f>
      </c>
      <c r="Q12" s="14" t="s">
        <v>56</v>
      </c>
    </row>
    <row r="13" ht="22" customHeight="1" spans="1:17" x14ac:dyDescent="0.25">
      <c r="A13" s="14" t="s">
        <v>2</v>
      </c>
      <c r="B13" s="15" t="s">
        <v>57</v>
      </c>
      <c r="C13" s="16">
        <v>333</v>
      </c>
      <c r="D13" s="16">
        <v>278</v>
      </c>
      <c r="E13" s="17">
        <f>IF(C13=0, 0, D13/C13)</f>
      </c>
      <c r="F13" s="16">
        <v>110</v>
      </c>
      <c r="G13" s="16">
        <v>164</v>
      </c>
      <c r="H13" s="17">
        <f>IF(F13=0, 0, G13/F13)</f>
      </c>
      <c r="I13" s="17">
        <f>IF(D13=0, 0, G13/D13)</f>
      </c>
      <c r="J13" s="16">
        <v>4000</v>
      </c>
      <c r="K13" s="16">
        <v>2600</v>
      </c>
      <c r="L13" s="17">
        <f>IF(J13=0, 0, K13/J13)</f>
      </c>
      <c r="M13" s="16">
        <v>1320</v>
      </c>
      <c r="N13" s="16">
        <v>818</v>
      </c>
      <c r="O13" s="17">
        <f>IF(M13=0, 0, N13/M13)</f>
      </c>
      <c r="P13" s="17">
        <f>IF(K13=0, 0, N13/K13)</f>
      </c>
      <c r="Q13" s="14" t="s">
        <v>58</v>
      </c>
    </row>
    <row r="14" ht="26" customHeight="1" spans="1:17" x14ac:dyDescent="0.25">
      <c r="A14" s="9">
        <v>4</v>
      </c>
      <c r="B14" s="10" t="s">
        <v>59</v>
      </c>
      <c r="C14" s="11">
        <f>SUM(C15:C15)</f>
      </c>
      <c r="D14" s="11">
        <f>SUM(D15:D15)</f>
      </c>
      <c r="E14" s="12">
        <f>IF(C14=0, 0, D14/C14)</f>
      </c>
      <c r="F14" s="11">
        <f>SUM(F15:F15)</f>
      </c>
      <c r="G14" s="11">
        <f>SUM(G15:G15)</f>
      </c>
      <c r="H14" s="12">
        <f>IF(F14=0, 0, G14/F14)</f>
      </c>
      <c r="I14" s="12">
        <f>IF(D14=0, 0, G14/D14)</f>
      </c>
      <c r="J14" s="11">
        <f>SUM(J15:J15)</f>
      </c>
      <c r="K14" s="11">
        <f>SUM(K15:K15)</f>
      </c>
      <c r="L14" s="12">
        <f>IF(J14=0, 0, K14/J14)</f>
      </c>
      <c r="M14" s="11">
        <f>SUM(M15:M15)</f>
      </c>
      <c r="N14" s="11">
        <f>SUM(N15:N15)</f>
      </c>
      <c r="O14" s="12">
        <f>IF(M14=0, 0, N14/M14)</f>
      </c>
      <c r="P14" s="12">
        <f>IF(K14=0, 0, N14/K14)</f>
      </c>
      <c r="Q14" s="13" t="s">
        <v>60</v>
      </c>
    </row>
    <row r="15" ht="22" customHeight="1" spans="1:17" x14ac:dyDescent="0.25">
      <c r="A15" s="14" t="s">
        <v>2</v>
      </c>
      <c r="B15" s="15" t="s">
        <v>61</v>
      </c>
      <c r="C15" s="16">
        <v>2000</v>
      </c>
      <c r="D15" s="16">
        <v>6770</v>
      </c>
      <c r="E15" s="17">
        <f>IF(C15=0, 0, D15/C15)</f>
      </c>
      <c r="F15" s="16">
        <v>100</v>
      </c>
      <c r="G15" s="16">
        <v>244</v>
      </c>
      <c r="H15" s="17">
        <f>IF(F15=0, 0, G15/F15)</f>
      </c>
      <c r="I15" s="17">
        <f>IF(D15=0, 0, G15/D15)</f>
      </c>
      <c r="J15" s="16">
        <v>24000</v>
      </c>
      <c r="K15" s="16">
        <v>15600</v>
      </c>
      <c r="L15" s="17">
        <f>IF(J15=0, 0, K15/J15)</f>
      </c>
      <c r="M15" s="16">
        <v>1200</v>
      </c>
      <c r="N15" s="16">
        <v>744</v>
      </c>
      <c r="O15" s="17">
        <f>IF(M15=0, 0, N15/M15)</f>
      </c>
      <c r="P15" s="17">
        <f>IF(K15=0, 0, N15/K15)</f>
      </c>
      <c r="Q15" s="14" t="s">
        <v>62</v>
      </c>
    </row>
    <row r="16" ht="26" customHeight="1" spans="1:17" x14ac:dyDescent="0.25">
      <c r="A16" s="9">
        <v>5</v>
      </c>
      <c r="B16" s="10" t="s">
        <v>63</v>
      </c>
      <c r="C16" s="11">
        <f>SUM(C17:C17)</f>
      </c>
      <c r="D16" s="11">
        <f>SUM(D17:D17)</f>
      </c>
      <c r="E16" s="12">
        <f>IF(C16=0, 0, D16/C16)</f>
      </c>
      <c r="F16" s="11">
        <f>SUM(F17:F17)</f>
      </c>
      <c r="G16" s="11">
        <f>SUM(G17:G17)</f>
      </c>
      <c r="H16" s="12">
        <f>IF(F16=0, 0, G16/F16)</f>
      </c>
      <c r="I16" s="12">
        <f>IF(D16=0, 0, G16/D16)</f>
      </c>
      <c r="J16" s="11">
        <f>SUM(J17:J17)</f>
      </c>
      <c r="K16" s="11">
        <f>SUM(K17:K17)</f>
      </c>
      <c r="L16" s="12">
        <f>IF(J16=0, 0, K16/J16)</f>
      </c>
      <c r="M16" s="11">
        <f>SUM(M17:M17)</f>
      </c>
      <c r="N16" s="11">
        <f>SUM(N17:N17)</f>
      </c>
      <c r="O16" s="12">
        <f>IF(M16=0, 0, N16/M16)</f>
      </c>
      <c r="P16" s="12">
        <f>IF(K16=0, 0, N16/K16)</f>
      </c>
      <c r="Q16" s="13" t="s">
        <v>64</v>
      </c>
    </row>
    <row r="17" ht="22" customHeight="1" spans="1:17" x14ac:dyDescent="0.25">
      <c r="A17" s="14" t="s">
        <v>2</v>
      </c>
      <c r="B17" s="15" t="s">
        <v>65</v>
      </c>
      <c r="C17" s="16">
        <v>500</v>
      </c>
      <c r="D17" s="16">
        <v>447</v>
      </c>
      <c r="E17" s="17">
        <f>IF(C17=0, 0, D17/C17)</f>
      </c>
      <c r="F17" s="16">
        <v>180</v>
      </c>
      <c r="G17" s="16">
        <v>161</v>
      </c>
      <c r="H17" s="17">
        <f>IF(F17=0, 0, G17/F17)</f>
      </c>
      <c r="I17" s="17">
        <f>IF(D17=0, 0, G17/D17)</f>
      </c>
      <c r="J17" s="16">
        <v>6000</v>
      </c>
      <c r="K17" s="16">
        <v>3900</v>
      </c>
      <c r="L17" s="17">
        <f>IF(J17=0, 0, K17/J17)</f>
      </c>
      <c r="M17" s="16">
        <v>2160</v>
      </c>
      <c r="N17" s="16">
        <v>1339</v>
      </c>
      <c r="O17" s="17">
        <f>IF(M17=0, 0, N17/M17)</f>
      </c>
      <c r="P17" s="17">
        <f>IF(K17=0, 0, N17/K17)</f>
      </c>
      <c r="Q17" s="14" t="s">
        <v>66</v>
      </c>
    </row>
    <row r="18" ht="26" customHeight="1" spans="1:17" x14ac:dyDescent="0.25">
      <c r="A18" s="9">
        <v>6</v>
      </c>
      <c r="B18" s="10" t="s">
        <v>67</v>
      </c>
      <c r="C18" s="11">
        <f>SUM(C19:C19)</f>
      </c>
      <c r="D18" s="11">
        <f>SUM(D19:D19)</f>
      </c>
      <c r="E18" s="12">
        <f>IF(C18=0, 0, D18/C18)</f>
      </c>
      <c r="F18" s="11">
        <f>SUM(F19:F19)</f>
      </c>
      <c r="G18" s="11">
        <f>SUM(G19:G19)</f>
      </c>
      <c r="H18" s="12">
        <f>IF(F18=0, 0, G18/F18)</f>
      </c>
      <c r="I18" s="12">
        <f>IF(D18=0, 0, G18/D18)</f>
      </c>
      <c r="J18" s="11">
        <f>SUM(J19:J19)</f>
      </c>
      <c r="K18" s="11">
        <f>SUM(K19:K19)</f>
      </c>
      <c r="L18" s="12">
        <f>IF(J18=0, 0, K18/J18)</f>
      </c>
      <c r="M18" s="11">
        <f>SUM(M19:M19)</f>
      </c>
      <c r="N18" s="11">
        <f>SUM(N19:N19)</f>
      </c>
      <c r="O18" s="12">
        <f>IF(M18=0, 0, N18/M18)</f>
      </c>
      <c r="P18" s="12">
        <f>IF(K18=0, 0, N18/K18)</f>
      </c>
      <c r="Q18" s="13" t="s">
        <v>68</v>
      </c>
    </row>
    <row r="19" ht="22" customHeight="1" spans="1:17" x14ac:dyDescent="0.25">
      <c r="A19" s="14" t="s">
        <v>2</v>
      </c>
      <c r="B19" s="15" t="s">
        <v>69</v>
      </c>
      <c r="C19" s="16">
        <v>0</v>
      </c>
      <c r="D19" s="16">
        <v>0</v>
      </c>
      <c r="E19" s="17">
        <f>IF(C19=0, 0, D19/C19)</f>
      </c>
      <c r="F19" s="16">
        <v>0</v>
      </c>
      <c r="G19" s="16">
        <v>0</v>
      </c>
      <c r="H19" s="17">
        <f>IF(F19=0, 0, G19/F19)</f>
      </c>
      <c r="I19" s="17">
        <f>IF(D19=0, 0, G19/D19)</f>
      </c>
      <c r="J19" s="16">
        <v>0</v>
      </c>
      <c r="K19" s="16">
        <v>0</v>
      </c>
      <c r="L19" s="17">
        <f>IF(J19=0, 0, K19/J19)</f>
      </c>
      <c r="M19" s="16">
        <v>0</v>
      </c>
      <c r="N19" s="16">
        <v>0</v>
      </c>
      <c r="O19" s="17">
        <f>IF(M19=0, 0, N19/M19)</f>
      </c>
      <c r="P19" s="17">
        <f>IF(K19=0, 0, N19/K19)</f>
      </c>
      <c r="Q19" s="14" t="s">
        <v>70</v>
      </c>
    </row>
    <row r="20" ht="26" customHeight="1" spans="1:17" x14ac:dyDescent="0.25">
      <c r="A20" s="9">
        <v>7</v>
      </c>
      <c r="B20" s="10" t="s">
        <v>71</v>
      </c>
      <c r="C20" s="11">
        <f>SUM(C21:C21)</f>
      </c>
      <c r="D20" s="11">
        <f>SUM(D21:D21)</f>
      </c>
      <c r="E20" s="12">
        <f>IF(C20=0, 0, D20/C20)</f>
      </c>
      <c r="F20" s="11">
        <f>SUM(F21:F21)</f>
      </c>
      <c r="G20" s="11">
        <f>SUM(G21:G21)</f>
      </c>
      <c r="H20" s="12">
        <f>IF(F20=0, 0, G20/F20)</f>
      </c>
      <c r="I20" s="12">
        <f>IF(D20=0, 0, G20/D20)</f>
      </c>
      <c r="J20" s="11">
        <f>SUM(J21:J21)</f>
      </c>
      <c r="K20" s="11">
        <f>SUM(K21:K21)</f>
      </c>
      <c r="L20" s="12">
        <f>IF(J20=0, 0, K20/J20)</f>
      </c>
      <c r="M20" s="11">
        <f>SUM(M21:M21)</f>
      </c>
      <c r="N20" s="11">
        <f>SUM(N21:N21)</f>
      </c>
      <c r="O20" s="12">
        <f>IF(M20=0, 0, N20/M20)</f>
      </c>
      <c r="P20" s="12">
        <f>IF(K20=0, 0, N20/K20)</f>
      </c>
      <c r="Q20" s="13" t="s">
        <v>72</v>
      </c>
    </row>
    <row r="21" ht="22" customHeight="1" spans="1:17" x14ac:dyDescent="0.25">
      <c r="A21" s="14" t="s">
        <v>2</v>
      </c>
      <c r="B21" s="15" t="s">
        <v>73</v>
      </c>
      <c r="C21" s="16">
        <v>458</v>
      </c>
      <c r="D21" s="16">
        <v>191</v>
      </c>
      <c r="E21" s="17">
        <f>IF(C21=0, 0, D21/C21)</f>
      </c>
      <c r="F21" s="16">
        <v>105</v>
      </c>
      <c r="G21" s="16">
        <v>49</v>
      </c>
      <c r="H21" s="17">
        <f>IF(F21=0, 0, G21/F21)</f>
      </c>
      <c r="I21" s="17">
        <f>IF(D21=0, 0, G21/D21)</f>
      </c>
      <c r="J21" s="16">
        <v>5500</v>
      </c>
      <c r="K21" s="16">
        <v>3575</v>
      </c>
      <c r="L21" s="17">
        <f>IF(J21=0, 0, K21/J21)</f>
      </c>
      <c r="M21" s="16">
        <v>1265</v>
      </c>
      <c r="N21" s="16">
        <v>784</v>
      </c>
      <c r="O21" s="17">
        <f>IF(M21=0, 0, N21/M21)</f>
      </c>
      <c r="P21" s="17">
        <f>IF(K21=0, 0, N21/K21)</f>
      </c>
      <c r="Q21" s="14" t="s">
        <v>74</v>
      </c>
    </row>
    <row r="22" ht="26" customHeight="1" spans="1:17" x14ac:dyDescent="0.25">
      <c r="A22" s="9">
        <v>8</v>
      </c>
      <c r="B22" s="10" t="s">
        <v>75</v>
      </c>
      <c r="C22" s="11">
        <f>SUM(C23:C23)</f>
      </c>
      <c r="D22" s="11">
        <f>SUM(D23:D23)</f>
      </c>
      <c r="E22" s="12">
        <f>IF(C22=0, 0, D22/C22)</f>
      </c>
      <c r="F22" s="11">
        <f>SUM(F23:F23)</f>
      </c>
      <c r="G22" s="11">
        <f>SUM(G23:G23)</f>
      </c>
      <c r="H22" s="12">
        <f>IF(F22=0, 0, G22/F22)</f>
      </c>
      <c r="I22" s="12">
        <f>IF(D22=0, 0, G22/D22)</f>
      </c>
      <c r="J22" s="11">
        <f>SUM(J23:J23)</f>
      </c>
      <c r="K22" s="11">
        <f>SUM(K23:K23)</f>
      </c>
      <c r="L22" s="12">
        <f>IF(J22=0, 0, K22/J22)</f>
      </c>
      <c r="M22" s="11">
        <f>SUM(M23:M23)</f>
      </c>
      <c r="N22" s="11">
        <f>SUM(N23:N23)</f>
      </c>
      <c r="O22" s="12">
        <f>IF(M22=0, 0, N22/M22)</f>
      </c>
      <c r="P22" s="12">
        <f>IF(K22=0, 0, N22/K22)</f>
      </c>
      <c r="Q22" s="13" t="s">
        <v>76</v>
      </c>
    </row>
    <row r="23" ht="22" customHeight="1" spans="1:17" x14ac:dyDescent="0.25">
      <c r="A23" s="14" t="s">
        <v>2</v>
      </c>
      <c r="B23" s="18" t="s">
        <v>77</v>
      </c>
      <c r="C23" s="16">
        <v>0</v>
      </c>
      <c r="D23" s="16">
        <v>0</v>
      </c>
      <c r="E23" s="17">
        <f>IF(C23=0, 0, D23/C23)</f>
      </c>
      <c r="F23" s="16">
        <v>0</v>
      </c>
      <c r="G23" s="16">
        <v>0</v>
      </c>
      <c r="H23" s="17">
        <f>IF(F23=0, 0, G23/F23)</f>
      </c>
      <c r="I23" s="17">
        <f>IF(D23=0, 0, G23/D23)</f>
      </c>
      <c r="J23" s="16">
        <v>0</v>
      </c>
      <c r="K23" s="16">
        <v>0</v>
      </c>
      <c r="L23" s="17">
        <f>IF(J23=0, 0, K23/J23)</f>
      </c>
      <c r="M23" s="16">
        <v>0</v>
      </c>
      <c r="N23" s="16">
        <v>0</v>
      </c>
      <c r="O23" s="17">
        <f>IF(M23=0, 0, N23/M23)</f>
      </c>
      <c r="P23" s="17">
        <f>IF(K23=0, 0, N23/K23)</f>
      </c>
      <c r="Q23" s="14" t="s">
        <v>2</v>
      </c>
    </row>
    <row r="24" ht="30" customHeight="1" spans="1:17" x14ac:dyDescent="0.25">
      <c r="A24" s="19" t="s">
        <v>2</v>
      </c>
      <c r="B24" s="20" t="s">
        <v>78</v>
      </c>
      <c r="C24" s="21">
        <f>C6+C8+C11+C14+C16+C18+C20+C22</f>
      </c>
      <c r="D24" s="21">
        <f>D6+D8+D11+D14+D16+D18+D20+D22</f>
      </c>
      <c r="E24" s="22">
        <f>IF(C24=0, 0, D24/C24)</f>
      </c>
      <c r="F24" s="21">
        <f>F6+F8+F11+F14+F16+F18+F20+F22</f>
      </c>
      <c r="G24" s="21">
        <f>G6+G8+G11+G14+G16+G18+G20+G22</f>
      </c>
      <c r="H24" s="22">
        <f>IF(F24=0, 0, G24/F24)</f>
      </c>
      <c r="I24" s="22">
        <f>IF(D24=0, 0, G24/D24)</f>
      </c>
      <c r="J24" s="21">
        <f>J6+J8+J11+J14+J16+J18+J20+J22</f>
      </c>
      <c r="K24" s="21">
        <f>K6+K8+K11+K14+K16+K18+K20+K22</f>
      </c>
      <c r="L24" s="22">
        <f>IF(J24=0, 0, K24/J24)</f>
      </c>
      <c r="M24" s="21">
        <f>M6+M8+M11+M14+M16+M18+M20+M22</f>
      </c>
      <c r="N24" s="21">
        <f>N6+N8+N11+N14+N16+N18+N20+N22</f>
      </c>
      <c r="O24" s="22">
        <f>IF(M24=0, 0, N24/M24)</f>
      </c>
      <c r="P24" s="22">
        <f>IF(K24=0, 0, N24/K24)</f>
      </c>
      <c r="Q24" s="19" t="s">
        <v>2</v>
      </c>
    </row>
  </sheetData>
  <mergeCells count="3">
    <mergeCell ref="A1:Q1"/>
    <mergeCell ref="A2:Q2"/>
    <mergeCell ref="A3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/>
  </sheetViews>
  <sheetFormatPr defaultRowHeight="15" outlineLevelRow="0" outlineLevelCol="0" x14ac:dyDescent="55"/>
  <cols>
    <col min="1" max="1" width="8" customWidth="1"/>
    <col min="2" max="2" width="36" customWidth="1"/>
    <col min="3" max="3" width="18" customWidth="1"/>
    <col min="4" max="16" width="14" customWidth="1"/>
  </cols>
  <sheetData>
    <row r="1" ht="28" customHeight="1" spans="1:16" x14ac:dyDescent="0.25">
      <c r="A1" s="6" t="s">
        <v>79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3" ht="28" customHeight="1" spans="1:16" x14ac:dyDescent="0.25">
      <c r="A3" s="23" t="s">
        <v>26</v>
      </c>
      <c r="B3" s="23" t="s">
        <v>80</v>
      </c>
      <c r="C3" s="23" t="s">
        <v>81</v>
      </c>
      <c r="D3" s="23" t="s">
        <v>82</v>
      </c>
      <c r="E3" s="23" t="s">
        <v>83</v>
      </c>
      <c r="F3" s="23" t="s">
        <v>84</v>
      </c>
      <c r="G3" s="23" t="s">
        <v>85</v>
      </c>
      <c r="H3" s="23" t="s">
        <v>86</v>
      </c>
      <c r="I3" s="23" t="s">
        <v>87</v>
      </c>
      <c r="J3" s="23" t="s">
        <v>88</v>
      </c>
      <c r="K3" s="23" t="s">
        <v>89</v>
      </c>
      <c r="L3" s="23" t="s">
        <v>90</v>
      </c>
      <c r="M3" s="23" t="s">
        <v>91</v>
      </c>
      <c r="N3" s="23" t="s">
        <v>92</v>
      </c>
      <c r="O3" s="23" t="s">
        <v>93</v>
      </c>
      <c r="P3" s="23" t="s">
        <v>94</v>
      </c>
    </row>
    <row r="4" ht="20" customHeight="1" spans="1:16" x14ac:dyDescent="0.25">
      <c r="A4" s="24">
        <v>1</v>
      </c>
      <c r="B4" s="25" t="s">
        <v>95</v>
      </c>
      <c r="C4" s="14" t="s">
        <v>96</v>
      </c>
      <c r="D4" s="26">
        <v>5500</v>
      </c>
      <c r="E4" s="26">
        <v>5500</v>
      </c>
      <c r="F4" s="26">
        <v>5500</v>
      </c>
      <c r="G4" s="26">
        <v>5500</v>
      </c>
      <c r="H4" s="26">
        <v>5500</v>
      </c>
      <c r="I4" s="26">
        <v>5500</v>
      </c>
      <c r="J4" s="26">
        <v>5500</v>
      </c>
      <c r="K4" s="26">
        <v>5500</v>
      </c>
      <c r="L4" s="26">
        <v>5500</v>
      </c>
      <c r="M4" s="26">
        <v>5500</v>
      </c>
      <c r="N4" s="26">
        <v>5500</v>
      </c>
      <c r="O4" s="26">
        <v>5500</v>
      </c>
      <c r="P4" s="26">
        <f>SUM(D4:O4)</f>
      </c>
    </row>
    <row r="5" ht="20" customHeight="1" spans="1:16" x14ac:dyDescent="0.25">
      <c r="A5" s="27" t="s">
        <v>2</v>
      </c>
      <c r="B5" s="27" t="s">
        <v>2</v>
      </c>
      <c r="C5" s="14" t="s">
        <v>97</v>
      </c>
      <c r="D5" s="26">
        <v>5500</v>
      </c>
      <c r="E5" s="26">
        <v>5500</v>
      </c>
      <c r="F5" s="26">
        <v>5500</v>
      </c>
      <c r="G5" s="26">
        <v>5500</v>
      </c>
      <c r="H5" s="26">
        <v>5500</v>
      </c>
      <c r="I5" s="26">
        <v>5500</v>
      </c>
      <c r="J5" s="26">
        <v>5500</v>
      </c>
      <c r="K5" s="26">
        <v>4169</v>
      </c>
      <c r="L5" s="26">
        <v>0</v>
      </c>
      <c r="M5" s="26">
        <v>0</v>
      </c>
      <c r="N5" s="26">
        <v>0</v>
      </c>
      <c r="O5" s="26">
        <v>0</v>
      </c>
      <c r="P5" s="26">
        <f>SUM(D5:O5)</f>
      </c>
    </row>
    <row r="6" ht="20" customHeight="1" spans="1:16" x14ac:dyDescent="0.25">
      <c r="A6" s="27" t="s">
        <v>2</v>
      </c>
      <c r="B6" s="27" t="s">
        <v>2</v>
      </c>
      <c r="C6" s="14" t="s">
        <v>98</v>
      </c>
      <c r="D6" s="26">
        <v>525</v>
      </c>
      <c r="E6" s="26">
        <v>525</v>
      </c>
      <c r="F6" s="26">
        <v>525</v>
      </c>
      <c r="G6" s="26">
        <v>525</v>
      </c>
      <c r="H6" s="26">
        <v>525</v>
      </c>
      <c r="I6" s="26">
        <v>525</v>
      </c>
      <c r="J6" s="26">
        <v>525</v>
      </c>
      <c r="K6" s="26">
        <v>682</v>
      </c>
      <c r="L6" s="26">
        <v>0</v>
      </c>
      <c r="M6" s="26">
        <v>0</v>
      </c>
      <c r="N6" s="26">
        <v>0</v>
      </c>
      <c r="O6" s="26">
        <v>0</v>
      </c>
      <c r="P6" s="26">
        <f>SUM(D6:O6)</f>
      </c>
    </row>
    <row r="7" ht="20" customHeight="1" spans="1:16" x14ac:dyDescent="0.25">
      <c r="A7" s="24">
        <v>2</v>
      </c>
      <c r="B7" s="25" t="s">
        <v>99</v>
      </c>
      <c r="C7" s="14" t="s">
        <v>96</v>
      </c>
      <c r="D7" s="26">
        <v>2000</v>
      </c>
      <c r="E7" s="26">
        <v>2000</v>
      </c>
      <c r="F7" s="26">
        <v>2000</v>
      </c>
      <c r="G7" s="26">
        <v>2000</v>
      </c>
      <c r="H7" s="26">
        <v>2000</v>
      </c>
      <c r="I7" s="26">
        <v>2000</v>
      </c>
      <c r="J7" s="26">
        <v>2000</v>
      </c>
      <c r="K7" s="26">
        <v>2000</v>
      </c>
      <c r="L7" s="26">
        <v>2000</v>
      </c>
      <c r="M7" s="26">
        <v>2000</v>
      </c>
      <c r="N7" s="26">
        <v>2000</v>
      </c>
      <c r="O7" s="26">
        <v>2000</v>
      </c>
      <c r="P7" s="26">
        <f>SUM(D7:O7)</f>
      </c>
    </row>
    <row r="8" ht="20" customHeight="1" spans="1:16" x14ac:dyDescent="0.25">
      <c r="A8" s="27" t="s">
        <v>2</v>
      </c>
      <c r="B8" s="27" t="s">
        <v>2</v>
      </c>
      <c r="C8" s="14" t="s">
        <v>97</v>
      </c>
      <c r="D8" s="26">
        <v>2000</v>
      </c>
      <c r="E8" s="26">
        <v>2000</v>
      </c>
      <c r="F8" s="26">
        <v>2000</v>
      </c>
      <c r="G8" s="26">
        <v>2000</v>
      </c>
      <c r="H8" s="26">
        <v>2000</v>
      </c>
      <c r="I8" s="26">
        <v>2000</v>
      </c>
      <c r="J8" s="26">
        <v>2000</v>
      </c>
      <c r="K8" s="26">
        <v>1427</v>
      </c>
      <c r="L8" s="26">
        <v>0</v>
      </c>
      <c r="M8" s="26">
        <v>0</v>
      </c>
      <c r="N8" s="26">
        <v>0</v>
      </c>
      <c r="O8" s="26">
        <v>0</v>
      </c>
      <c r="P8" s="26">
        <f>SUM(D8:O8)</f>
      </c>
    </row>
    <row r="9" ht="20" customHeight="1" spans="1:16" x14ac:dyDescent="0.25">
      <c r="A9" s="27" t="s">
        <v>2</v>
      </c>
      <c r="B9" s="27" t="s">
        <v>2</v>
      </c>
      <c r="C9" s="14" t="s">
        <v>98</v>
      </c>
      <c r="D9" s="26">
        <v>1213</v>
      </c>
      <c r="E9" s="26">
        <v>1213</v>
      </c>
      <c r="F9" s="26">
        <v>1213</v>
      </c>
      <c r="G9" s="26">
        <v>1213</v>
      </c>
      <c r="H9" s="26">
        <v>1213</v>
      </c>
      <c r="I9" s="26">
        <v>1213</v>
      </c>
      <c r="J9" s="26">
        <v>1213</v>
      </c>
      <c r="K9" s="26">
        <v>918</v>
      </c>
      <c r="L9" s="26">
        <v>0</v>
      </c>
      <c r="M9" s="26">
        <v>0</v>
      </c>
      <c r="N9" s="26">
        <v>0</v>
      </c>
      <c r="O9" s="26">
        <v>0</v>
      </c>
      <c r="P9" s="26">
        <f>SUM(D9:O9)</f>
      </c>
    </row>
    <row r="10" ht="20" customHeight="1" spans="1:16" x14ac:dyDescent="0.25">
      <c r="A10" s="24">
        <v>3</v>
      </c>
      <c r="B10" s="25" t="s">
        <v>100</v>
      </c>
      <c r="C10" s="14" t="s">
        <v>96</v>
      </c>
      <c r="D10" s="26">
        <v>1500</v>
      </c>
      <c r="E10" s="26">
        <v>1500</v>
      </c>
      <c r="F10" s="26">
        <v>1500</v>
      </c>
      <c r="G10" s="26">
        <v>1500</v>
      </c>
      <c r="H10" s="26">
        <v>1500</v>
      </c>
      <c r="I10" s="26">
        <v>1500</v>
      </c>
      <c r="J10" s="26">
        <v>1500</v>
      </c>
      <c r="K10" s="26">
        <v>1500</v>
      </c>
      <c r="L10" s="26">
        <v>1500</v>
      </c>
      <c r="M10" s="26">
        <v>1500</v>
      </c>
      <c r="N10" s="26">
        <v>1500</v>
      </c>
      <c r="O10" s="26">
        <v>1500</v>
      </c>
      <c r="P10" s="26">
        <f>SUM(D10:O10)</f>
      </c>
    </row>
    <row r="11" ht="20" customHeight="1" spans="1:16" x14ac:dyDescent="0.25">
      <c r="A11" s="27" t="s">
        <v>2</v>
      </c>
      <c r="B11" s="27" t="s">
        <v>2</v>
      </c>
      <c r="C11" s="14" t="s">
        <v>97</v>
      </c>
      <c r="D11" s="26">
        <v>1500</v>
      </c>
      <c r="E11" s="26">
        <v>1500</v>
      </c>
      <c r="F11" s="26">
        <v>1500</v>
      </c>
      <c r="G11" s="26">
        <v>1500</v>
      </c>
      <c r="H11" s="26">
        <v>1500</v>
      </c>
      <c r="I11" s="26">
        <v>1500</v>
      </c>
      <c r="J11" s="26">
        <v>1500</v>
      </c>
      <c r="K11" s="26">
        <v>381</v>
      </c>
      <c r="L11" s="26">
        <v>0</v>
      </c>
      <c r="M11" s="26">
        <v>0</v>
      </c>
      <c r="N11" s="26">
        <v>0</v>
      </c>
      <c r="O11" s="26">
        <v>0</v>
      </c>
      <c r="P11" s="26">
        <f>SUM(D11:O11)</f>
      </c>
    </row>
    <row r="12" ht="20" customHeight="1" spans="1:16" x14ac:dyDescent="0.25">
      <c r="A12" s="27" t="s">
        <v>2</v>
      </c>
      <c r="B12" s="27" t="s">
        <v>2</v>
      </c>
      <c r="C12" s="14" t="s">
        <v>98</v>
      </c>
      <c r="D12" s="26">
        <v>910</v>
      </c>
      <c r="E12" s="26">
        <v>910</v>
      </c>
      <c r="F12" s="26">
        <v>910</v>
      </c>
      <c r="G12" s="26">
        <v>910</v>
      </c>
      <c r="H12" s="26">
        <v>910</v>
      </c>
      <c r="I12" s="26">
        <v>910</v>
      </c>
      <c r="J12" s="26">
        <v>910</v>
      </c>
      <c r="K12" s="26">
        <v>249</v>
      </c>
      <c r="L12" s="26">
        <v>0</v>
      </c>
      <c r="M12" s="26">
        <v>0</v>
      </c>
      <c r="N12" s="26">
        <v>0</v>
      </c>
      <c r="O12" s="26">
        <v>0</v>
      </c>
      <c r="P12" s="26">
        <f>SUM(D12:O12)</f>
      </c>
    </row>
    <row r="13" ht="20" customHeight="1" spans="1:16" x14ac:dyDescent="0.25">
      <c r="A13" s="24">
        <v>4</v>
      </c>
      <c r="B13" s="25" t="s">
        <v>101</v>
      </c>
      <c r="C13" s="14" t="s">
        <v>96</v>
      </c>
      <c r="D13" s="26">
        <v>1833</v>
      </c>
      <c r="E13" s="26">
        <v>1833</v>
      </c>
      <c r="F13" s="26">
        <v>1833</v>
      </c>
      <c r="G13" s="26">
        <v>1833</v>
      </c>
      <c r="H13" s="26">
        <v>1833</v>
      </c>
      <c r="I13" s="26">
        <v>1833</v>
      </c>
      <c r="J13" s="26">
        <v>1833</v>
      </c>
      <c r="K13" s="26">
        <v>1833</v>
      </c>
      <c r="L13" s="26">
        <v>1833</v>
      </c>
      <c r="M13" s="26">
        <v>1833</v>
      </c>
      <c r="N13" s="26">
        <v>1833</v>
      </c>
      <c r="O13" s="26">
        <v>1833</v>
      </c>
      <c r="P13" s="26">
        <f>SUM(D13:O13)</f>
      </c>
    </row>
    <row r="14" ht="20" customHeight="1" spans="1:16" x14ac:dyDescent="0.25">
      <c r="A14" s="27" t="s">
        <v>2</v>
      </c>
      <c r="B14" s="27" t="s">
        <v>2</v>
      </c>
      <c r="C14" s="14" t="s">
        <v>97</v>
      </c>
      <c r="D14" s="26">
        <v>1833</v>
      </c>
      <c r="E14" s="26">
        <v>1833</v>
      </c>
      <c r="F14" s="26">
        <v>1833</v>
      </c>
      <c r="G14" s="26">
        <v>1833</v>
      </c>
      <c r="H14" s="26">
        <v>1833</v>
      </c>
      <c r="I14" s="26">
        <v>1833</v>
      </c>
      <c r="J14" s="26">
        <v>1833</v>
      </c>
      <c r="K14" s="26">
        <v>1439</v>
      </c>
      <c r="L14" s="26">
        <v>0</v>
      </c>
      <c r="M14" s="26">
        <v>0</v>
      </c>
      <c r="N14" s="26">
        <v>0</v>
      </c>
      <c r="O14" s="26">
        <v>0</v>
      </c>
      <c r="P14" s="26">
        <f>SUM(D14:O14)</f>
      </c>
    </row>
    <row r="15" ht="20" customHeight="1" spans="1:16" x14ac:dyDescent="0.25">
      <c r="A15" s="27" t="s">
        <v>2</v>
      </c>
      <c r="B15" s="27" t="s">
        <v>2</v>
      </c>
      <c r="C15" s="14" t="s">
        <v>98</v>
      </c>
      <c r="D15" s="26">
        <v>605</v>
      </c>
      <c r="E15" s="26">
        <v>605</v>
      </c>
      <c r="F15" s="26">
        <v>605</v>
      </c>
      <c r="G15" s="26">
        <v>605</v>
      </c>
      <c r="H15" s="26">
        <v>605</v>
      </c>
      <c r="I15" s="26">
        <v>605</v>
      </c>
      <c r="J15" s="26">
        <v>605</v>
      </c>
      <c r="K15" s="26">
        <v>574</v>
      </c>
      <c r="L15" s="26">
        <v>0</v>
      </c>
      <c r="M15" s="26">
        <v>0</v>
      </c>
      <c r="N15" s="26">
        <v>0</v>
      </c>
      <c r="O15" s="26">
        <v>0</v>
      </c>
      <c r="P15" s="26">
        <f>SUM(D15:O15)</f>
      </c>
    </row>
    <row r="16" ht="20" customHeight="1" spans="1:16" x14ac:dyDescent="0.25">
      <c r="A16" s="24">
        <v>5</v>
      </c>
      <c r="B16" s="25" t="s">
        <v>102</v>
      </c>
      <c r="C16" s="14" t="s">
        <v>96</v>
      </c>
      <c r="D16" s="26">
        <v>333</v>
      </c>
      <c r="E16" s="26">
        <v>333</v>
      </c>
      <c r="F16" s="26">
        <v>333</v>
      </c>
      <c r="G16" s="26">
        <v>333</v>
      </c>
      <c r="H16" s="26">
        <v>333</v>
      </c>
      <c r="I16" s="26">
        <v>333</v>
      </c>
      <c r="J16" s="26">
        <v>333</v>
      </c>
      <c r="K16" s="26">
        <v>333</v>
      </c>
      <c r="L16" s="26">
        <v>333</v>
      </c>
      <c r="M16" s="26">
        <v>333</v>
      </c>
      <c r="N16" s="26">
        <v>333</v>
      </c>
      <c r="O16" s="26">
        <v>333</v>
      </c>
      <c r="P16" s="26">
        <f>SUM(D16:O16)</f>
      </c>
    </row>
    <row r="17" ht="20" customHeight="1" spans="1:16" x14ac:dyDescent="0.25">
      <c r="A17" s="27" t="s">
        <v>2</v>
      </c>
      <c r="B17" s="27" t="s">
        <v>2</v>
      </c>
      <c r="C17" s="14" t="s">
        <v>97</v>
      </c>
      <c r="D17" s="26">
        <v>333</v>
      </c>
      <c r="E17" s="26">
        <v>333</v>
      </c>
      <c r="F17" s="26">
        <v>333</v>
      </c>
      <c r="G17" s="26">
        <v>333</v>
      </c>
      <c r="H17" s="26">
        <v>333</v>
      </c>
      <c r="I17" s="26">
        <v>333</v>
      </c>
      <c r="J17" s="26">
        <v>333</v>
      </c>
      <c r="K17" s="26">
        <v>278</v>
      </c>
      <c r="L17" s="26">
        <v>0</v>
      </c>
      <c r="M17" s="26">
        <v>0</v>
      </c>
      <c r="N17" s="26">
        <v>0</v>
      </c>
      <c r="O17" s="26">
        <v>0</v>
      </c>
      <c r="P17" s="26">
        <f>SUM(D17:O17)</f>
      </c>
    </row>
    <row r="18" ht="20" customHeight="1" spans="1:16" x14ac:dyDescent="0.25">
      <c r="A18" s="27" t="s">
        <v>2</v>
      </c>
      <c r="B18" s="27" t="s">
        <v>2</v>
      </c>
      <c r="C18" s="14" t="s">
        <v>98</v>
      </c>
      <c r="D18" s="26">
        <v>110</v>
      </c>
      <c r="E18" s="26">
        <v>110</v>
      </c>
      <c r="F18" s="26">
        <v>110</v>
      </c>
      <c r="G18" s="26">
        <v>110</v>
      </c>
      <c r="H18" s="26">
        <v>110</v>
      </c>
      <c r="I18" s="26">
        <v>110</v>
      </c>
      <c r="J18" s="26">
        <v>110</v>
      </c>
      <c r="K18" s="26">
        <v>164</v>
      </c>
      <c r="L18" s="26">
        <v>0</v>
      </c>
      <c r="M18" s="26">
        <v>0</v>
      </c>
      <c r="N18" s="26">
        <v>0</v>
      </c>
      <c r="O18" s="26">
        <v>0</v>
      </c>
      <c r="P18" s="26">
        <f>SUM(D18:O18)</f>
      </c>
    </row>
    <row r="19" ht="20" customHeight="1" spans="1:16" x14ac:dyDescent="0.25">
      <c r="A19" s="24">
        <v>6</v>
      </c>
      <c r="B19" s="25" t="s">
        <v>103</v>
      </c>
      <c r="C19" s="14" t="s">
        <v>96</v>
      </c>
      <c r="D19" s="26">
        <v>2000</v>
      </c>
      <c r="E19" s="26">
        <v>2000</v>
      </c>
      <c r="F19" s="26">
        <v>2000</v>
      </c>
      <c r="G19" s="26">
        <v>2000</v>
      </c>
      <c r="H19" s="26">
        <v>2000</v>
      </c>
      <c r="I19" s="26">
        <v>2000</v>
      </c>
      <c r="J19" s="26">
        <v>2000</v>
      </c>
      <c r="K19" s="26">
        <v>2000</v>
      </c>
      <c r="L19" s="26">
        <v>2000</v>
      </c>
      <c r="M19" s="26">
        <v>2000</v>
      </c>
      <c r="N19" s="26">
        <v>2000</v>
      </c>
      <c r="O19" s="26">
        <v>2000</v>
      </c>
      <c r="P19" s="26">
        <f>SUM(D19:O19)</f>
      </c>
    </row>
    <row r="20" ht="20" customHeight="1" spans="1:16" x14ac:dyDescent="0.25">
      <c r="A20" s="27" t="s">
        <v>2</v>
      </c>
      <c r="B20" s="27" t="s">
        <v>2</v>
      </c>
      <c r="C20" s="14" t="s">
        <v>97</v>
      </c>
      <c r="D20" s="26">
        <v>2000</v>
      </c>
      <c r="E20" s="26">
        <v>2000</v>
      </c>
      <c r="F20" s="26">
        <v>2000</v>
      </c>
      <c r="G20" s="26">
        <v>2000</v>
      </c>
      <c r="H20" s="26">
        <v>2000</v>
      </c>
      <c r="I20" s="26">
        <v>2000</v>
      </c>
      <c r="J20" s="26">
        <v>2000</v>
      </c>
      <c r="K20" s="26">
        <v>6770</v>
      </c>
      <c r="L20" s="26">
        <v>0</v>
      </c>
      <c r="M20" s="26">
        <v>0</v>
      </c>
      <c r="N20" s="26">
        <v>0</v>
      </c>
      <c r="O20" s="26">
        <v>0</v>
      </c>
      <c r="P20" s="26">
        <f>SUM(D20:O20)</f>
      </c>
    </row>
    <row r="21" ht="20" customHeight="1" spans="1:16" x14ac:dyDescent="0.25">
      <c r="A21" s="27" t="s">
        <v>2</v>
      </c>
      <c r="B21" s="27" t="s">
        <v>2</v>
      </c>
      <c r="C21" s="14" t="s">
        <v>98</v>
      </c>
      <c r="D21" s="26">
        <v>100</v>
      </c>
      <c r="E21" s="26">
        <v>100</v>
      </c>
      <c r="F21" s="26">
        <v>100</v>
      </c>
      <c r="G21" s="26">
        <v>100</v>
      </c>
      <c r="H21" s="26">
        <v>100</v>
      </c>
      <c r="I21" s="26">
        <v>100</v>
      </c>
      <c r="J21" s="26">
        <v>100</v>
      </c>
      <c r="K21" s="26">
        <v>244</v>
      </c>
      <c r="L21" s="26">
        <v>0</v>
      </c>
      <c r="M21" s="26">
        <v>0</v>
      </c>
      <c r="N21" s="26">
        <v>0</v>
      </c>
      <c r="O21" s="26">
        <v>0</v>
      </c>
      <c r="P21" s="26">
        <f>SUM(D21:O21)</f>
      </c>
    </row>
    <row r="22" ht="20" customHeight="1" spans="1:16" x14ac:dyDescent="0.25">
      <c r="A22" s="24">
        <v>7</v>
      </c>
      <c r="B22" s="25" t="s">
        <v>104</v>
      </c>
      <c r="C22" s="14" t="s">
        <v>96</v>
      </c>
      <c r="D22" s="26">
        <v>500</v>
      </c>
      <c r="E22" s="26">
        <v>500</v>
      </c>
      <c r="F22" s="26">
        <v>500</v>
      </c>
      <c r="G22" s="26">
        <v>500</v>
      </c>
      <c r="H22" s="26">
        <v>500</v>
      </c>
      <c r="I22" s="26">
        <v>500</v>
      </c>
      <c r="J22" s="26">
        <v>500</v>
      </c>
      <c r="K22" s="26">
        <v>500</v>
      </c>
      <c r="L22" s="26">
        <v>500</v>
      </c>
      <c r="M22" s="26">
        <v>500</v>
      </c>
      <c r="N22" s="26">
        <v>500</v>
      </c>
      <c r="O22" s="26">
        <v>500</v>
      </c>
      <c r="P22" s="26">
        <f>SUM(D22:O22)</f>
      </c>
    </row>
    <row r="23" ht="20" customHeight="1" spans="1:16" x14ac:dyDescent="0.25">
      <c r="A23" s="27" t="s">
        <v>2</v>
      </c>
      <c r="B23" s="27" t="s">
        <v>2</v>
      </c>
      <c r="C23" s="14" t="s">
        <v>97</v>
      </c>
      <c r="D23" s="26">
        <v>500</v>
      </c>
      <c r="E23" s="26">
        <v>500</v>
      </c>
      <c r="F23" s="26">
        <v>500</v>
      </c>
      <c r="G23" s="26">
        <v>500</v>
      </c>
      <c r="H23" s="26">
        <v>500</v>
      </c>
      <c r="I23" s="26">
        <v>500</v>
      </c>
      <c r="J23" s="26">
        <v>500</v>
      </c>
      <c r="K23" s="26">
        <v>447</v>
      </c>
      <c r="L23" s="26">
        <v>0</v>
      </c>
      <c r="M23" s="26">
        <v>0</v>
      </c>
      <c r="N23" s="26">
        <v>0</v>
      </c>
      <c r="O23" s="26">
        <v>0</v>
      </c>
      <c r="P23" s="26">
        <f>SUM(D23:O23)</f>
      </c>
    </row>
    <row r="24" ht="20" customHeight="1" spans="1:16" x14ac:dyDescent="0.25">
      <c r="A24" s="27" t="s">
        <v>2</v>
      </c>
      <c r="B24" s="27" t="s">
        <v>2</v>
      </c>
      <c r="C24" s="14" t="s">
        <v>98</v>
      </c>
      <c r="D24" s="26">
        <v>180</v>
      </c>
      <c r="E24" s="26">
        <v>180</v>
      </c>
      <c r="F24" s="26">
        <v>180</v>
      </c>
      <c r="G24" s="26">
        <v>180</v>
      </c>
      <c r="H24" s="26">
        <v>180</v>
      </c>
      <c r="I24" s="26">
        <v>180</v>
      </c>
      <c r="J24" s="26">
        <v>180</v>
      </c>
      <c r="K24" s="26">
        <v>161</v>
      </c>
      <c r="L24" s="26">
        <v>0</v>
      </c>
      <c r="M24" s="26">
        <v>0</v>
      </c>
      <c r="N24" s="26">
        <v>0</v>
      </c>
      <c r="O24" s="26">
        <v>0</v>
      </c>
      <c r="P24" s="26">
        <f>SUM(D24:O24)</f>
      </c>
    </row>
    <row r="25" ht="20" customHeight="1" spans="1:16" x14ac:dyDescent="0.25">
      <c r="A25" s="24">
        <v>8</v>
      </c>
      <c r="B25" s="25" t="s">
        <v>105</v>
      </c>
      <c r="C25" s="14" t="s">
        <v>96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6">
        <v>0</v>
      </c>
      <c r="O25" s="26">
        <v>0</v>
      </c>
      <c r="P25" s="26">
        <f>SUM(D25:O25)</f>
      </c>
    </row>
    <row r="26" ht="20" customHeight="1" spans="1:16" x14ac:dyDescent="0.25">
      <c r="A26" s="27" t="s">
        <v>2</v>
      </c>
      <c r="B26" s="27" t="s">
        <v>2</v>
      </c>
      <c r="C26" s="14" t="s">
        <v>97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f>SUM(D26:O26)</f>
      </c>
    </row>
    <row r="27" ht="20" customHeight="1" spans="1:16" x14ac:dyDescent="0.25">
      <c r="A27" s="27" t="s">
        <v>2</v>
      </c>
      <c r="B27" s="27" t="s">
        <v>2</v>
      </c>
      <c r="C27" s="14" t="s">
        <v>98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f>SUM(D27:O27)</f>
      </c>
    </row>
    <row r="28" ht="20" customHeight="1" spans="1:16" x14ac:dyDescent="0.25">
      <c r="A28" s="24">
        <v>9</v>
      </c>
      <c r="B28" s="25" t="s">
        <v>106</v>
      </c>
      <c r="C28" s="14" t="s">
        <v>96</v>
      </c>
      <c r="D28" s="26">
        <v>458</v>
      </c>
      <c r="E28" s="26">
        <v>458</v>
      </c>
      <c r="F28" s="26">
        <v>458</v>
      </c>
      <c r="G28" s="26">
        <v>458</v>
      </c>
      <c r="H28" s="26">
        <v>458</v>
      </c>
      <c r="I28" s="26">
        <v>458</v>
      </c>
      <c r="J28" s="26">
        <v>458</v>
      </c>
      <c r="K28" s="26">
        <v>458</v>
      </c>
      <c r="L28" s="26">
        <v>458</v>
      </c>
      <c r="M28" s="26">
        <v>458</v>
      </c>
      <c r="N28" s="26">
        <v>458</v>
      </c>
      <c r="O28" s="26">
        <v>458</v>
      </c>
      <c r="P28" s="26">
        <f>SUM(D28:O28)</f>
      </c>
    </row>
    <row r="29" ht="20" customHeight="1" spans="1:16" x14ac:dyDescent="0.25">
      <c r="A29" s="27" t="s">
        <v>2</v>
      </c>
      <c r="B29" s="27" t="s">
        <v>2</v>
      </c>
      <c r="C29" s="14" t="s">
        <v>97</v>
      </c>
      <c r="D29" s="26">
        <v>458</v>
      </c>
      <c r="E29" s="26">
        <v>458</v>
      </c>
      <c r="F29" s="26">
        <v>458</v>
      </c>
      <c r="G29" s="26">
        <v>458</v>
      </c>
      <c r="H29" s="26">
        <v>458</v>
      </c>
      <c r="I29" s="26">
        <v>458</v>
      </c>
      <c r="J29" s="26">
        <v>458</v>
      </c>
      <c r="K29" s="26">
        <v>191</v>
      </c>
      <c r="L29" s="26">
        <v>0</v>
      </c>
      <c r="M29" s="26">
        <v>0</v>
      </c>
      <c r="N29" s="26">
        <v>0</v>
      </c>
      <c r="O29" s="26">
        <v>0</v>
      </c>
      <c r="P29" s="26">
        <f>SUM(D29:O29)</f>
      </c>
    </row>
    <row r="30" ht="20" customHeight="1" spans="1:16" x14ac:dyDescent="0.25">
      <c r="A30" s="27" t="s">
        <v>2</v>
      </c>
      <c r="B30" s="27" t="s">
        <v>2</v>
      </c>
      <c r="C30" s="14" t="s">
        <v>98</v>
      </c>
      <c r="D30" s="26">
        <v>105</v>
      </c>
      <c r="E30" s="26">
        <v>105</v>
      </c>
      <c r="F30" s="26">
        <v>105</v>
      </c>
      <c r="G30" s="26">
        <v>105</v>
      </c>
      <c r="H30" s="26">
        <v>105</v>
      </c>
      <c r="I30" s="26">
        <v>105</v>
      </c>
      <c r="J30" s="26">
        <v>105</v>
      </c>
      <c r="K30" s="26">
        <v>49</v>
      </c>
      <c r="L30" s="26">
        <v>0</v>
      </c>
      <c r="M30" s="26">
        <v>0</v>
      </c>
      <c r="N30" s="26">
        <v>0</v>
      </c>
      <c r="O30" s="26">
        <v>0</v>
      </c>
      <c r="P30" s="26">
        <f>SUM(D30:O30)</f>
      </c>
    </row>
  </sheetData>
  <mergeCells count="1">
    <mergeCell ref="A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00_Huong_Dan</vt:lpstr>
      <vt:lpstr>Bao_Cao_Thang</vt:lpstr>
      <vt:lpstr>12_Thang_Chi_Tiet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Tập đoàn VPS</dc:creator>
  <dc:title/>
  <dc:subject/>
  <dc:description/>
  <cp:keywords/>
  <cp:category/>
  <cp:lastModifiedBy>Unknown</cp:lastModifiedBy>
  <dcterms:created xsi:type="dcterms:W3CDTF">2026-10-01T07:22:13Z</dcterms:created>
  <dcterms:modified xsi:type="dcterms:W3CDTF">2026-10-01T07:22:13Z</dcterms:modified>
</cp:coreProperties>
</file>