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Huong_Dan_Nhap_Lieu" sheetId="1" state="visible" r:id="rId1"/>
    <sheet xmlns:r="http://schemas.openxmlformats.org/officeDocument/2006/relationships" name="Thang_01" sheetId="2" state="visible" r:id="rId2"/>
    <sheet xmlns:r="http://schemas.openxmlformats.org/officeDocument/2006/relationships" name="Thang_02" sheetId="3" state="visible" r:id="rId3"/>
    <sheet xmlns:r="http://schemas.openxmlformats.org/officeDocument/2006/relationships" name="Thang_03" sheetId="4" state="visible" r:id="rId4"/>
    <sheet xmlns:r="http://schemas.openxmlformats.org/officeDocument/2006/relationships" name="Thang_04" sheetId="5" state="visible" r:id="rId5"/>
    <sheet xmlns:r="http://schemas.openxmlformats.org/officeDocument/2006/relationships" name="Thang_05" sheetId="6" state="visible" r:id="rId6"/>
    <sheet xmlns:r="http://schemas.openxmlformats.org/officeDocument/2006/relationships" name="Thang_06" sheetId="7" state="visible" r:id="rId7"/>
    <sheet xmlns:r="http://schemas.openxmlformats.org/officeDocument/2006/relationships" name="Thang_07" sheetId="8" state="visible" r:id="rId8"/>
    <sheet xmlns:r="http://schemas.openxmlformats.org/officeDocument/2006/relationships" name="Thang_08" sheetId="9" state="visible" r:id="rId9"/>
    <sheet xmlns:r="http://schemas.openxmlformats.org/officeDocument/2006/relationships" name="Thang_09" sheetId="10" state="visible" r:id="rId10"/>
    <sheet xmlns:r="http://schemas.openxmlformats.org/officeDocument/2006/relationships" name="Thang_10" sheetId="11" state="visible" r:id="rId11"/>
    <sheet xmlns:r="http://schemas.openxmlformats.org/officeDocument/2006/relationships" name="Thang_11" sheetId="12" state="visible" r:id="rId12"/>
    <sheet xmlns:r="http://schemas.openxmlformats.org/officeDocument/2006/relationships" name="Thang_12" sheetId="13" state="visible" r:id="rId13"/>
    <sheet xmlns:r="http://schemas.openxmlformats.org/officeDocument/2006/relationships" name="Bao_Cao_KQKD_Thang_07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(#,##0.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059669"/>
      <sz val="10"/>
    </font>
    <font>
      <name val="Arial"/>
      <i val="1"/>
      <color rgb="00475569"/>
      <sz val="9.5"/>
    </font>
    <font>
      <name val="Arial"/>
      <i val="1"/>
      <sz val="8.5"/>
    </font>
    <font>
      <name val="Arial"/>
      <b val="1"/>
      <color rgb="00FFFFFF"/>
      <sz val="9"/>
    </font>
    <font>
      <name val="Arial"/>
      <b val="1"/>
      <color rgb="00DC2626"/>
      <sz val="9"/>
    </font>
  </fonts>
  <fills count="9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3A8A"/>
        <bgColor rgb="001E3A8A"/>
      </patternFill>
    </fill>
    <fill>
      <patternFill patternType="solid">
        <fgColor rgb="00064E3B"/>
        <bgColor rgb="00064E3B"/>
      </patternFill>
    </fill>
    <fill>
      <patternFill patternType="solid">
        <fgColor rgb="00E0E7FF"/>
        <bgColor rgb="00E0E7FF"/>
      </patternFill>
    </fill>
    <fill>
      <patternFill patternType="solid">
        <fgColor rgb="00F1F5F9"/>
        <bgColor rgb="00F1F5F9"/>
      </patternFill>
    </fill>
    <fill>
      <patternFill patternType="solid">
        <fgColor rgb="00FEF3C7"/>
        <bgColor rgb="00FEF3C7"/>
      </patternFill>
    </fill>
    <fill>
      <patternFill patternType="solid">
        <fgColor rgb="00FEFCE8"/>
        <bgColor rgb="00FEFCE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000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right" vertical="center"/>
    </xf>
    <xf numFmtId="164" fontId="2" fillId="5" borderId="1" pivotButton="0" quotePrefix="0" xfId="0"/>
    <xf numFmtId="165" fontId="2" fillId="5" borderId="1" pivotButton="0" quotePrefix="0" xfId="0"/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right" vertical="center"/>
    </xf>
    <xf numFmtId="164" fontId="2" fillId="6" borderId="1" pivotButton="0" quotePrefix="0" xfId="0"/>
    <xf numFmtId="165" fontId="2" fillId="6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right" vertical="center"/>
    </xf>
    <xf numFmtId="164" fontId="2" fillId="0" borderId="1" pivotButton="0" quotePrefix="0" xfId="0"/>
    <xf numFmtId="165" fontId="2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4" fontId="3" fillId="0" borderId="1" pivotButton="0" quotePrefix="0" xfId="0"/>
    <xf numFmtId="165" fontId="3" fillId="0" borderId="1" pivotButton="0" quotePrefix="0" xfId="0"/>
    <xf numFmtId="164" fontId="8" fillId="0" borderId="1" pivotButton="0" quotePrefix="0" xfId="0"/>
    <xf numFmtId="164" fontId="8" fillId="6" borderId="1" pivotButton="0" quotePrefix="0" xfId="0"/>
    <xf numFmtId="0" fontId="2" fillId="7" borderId="2" applyAlignment="1" pivotButton="0" quotePrefix="0" xfId="0">
      <alignment horizontal="center" vertical="center"/>
    </xf>
    <xf numFmtId="0" fontId="2" fillId="7" borderId="2" applyAlignment="1" pivotButton="0" quotePrefix="0" xfId="0">
      <alignment horizontal="left" vertical="center"/>
    </xf>
    <xf numFmtId="164" fontId="2" fillId="7" borderId="2" applyAlignment="1" pivotButton="0" quotePrefix="0" xfId="0">
      <alignment horizontal="right" vertical="center"/>
    </xf>
    <xf numFmtId="164" fontId="2" fillId="7" borderId="2" pivotButton="0" quotePrefix="0" xfId="0"/>
    <xf numFmtId="165" fontId="2" fillId="7" borderId="2" pivotButton="0" quotePrefix="0" xfId="0"/>
    <xf numFmtId="164" fontId="8" fillId="5" borderId="1" pivotButton="0" quotePrefix="0" xfId="0"/>
    <xf numFmtId="164" fontId="8" fillId="7" borderId="2" pivotButton="0" quotePrefix="0" xfId="0"/>
    <xf numFmtId="164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82" customWidth="1" min="3" max="3"/>
  </cols>
  <sheetData>
    <row r="2">
      <c r="B2" s="1" t="inlineStr">
        <is>
          <t>HƯỚNG DẪN NHẬP LIỆU BÁO CÁO KQKD (P&amp;L) CÁC ĐƠN VỊ &amp; TOÀN TẬP ĐOÀN VPS</t>
        </is>
      </c>
    </row>
    <row r="4" ht="26" customHeight="1">
      <c r="B4" s="2" t="inlineStr">
        <is>
          <t>1. Cấu trúc 12 tháng:</t>
        </is>
      </c>
      <c r="C4" s="3" t="inlineStr">
        <is>
          <t>File chuẩn hóa 12 tab tương ứng từ 'Thang_01' đến 'Thang_12'. Cấu trúc 39 dòng chỉ tiêu và thứ tự cột số liệu hoàn toàn đồng nhất.</t>
        </is>
      </c>
    </row>
    <row r="5" ht="26" customHeight="1">
      <c r="B5" s="2" t="inlineStr">
        <is>
          <t>2. Số liệu chuẩn hóa đã khóa:</t>
        </is>
      </c>
      <c r="C5" s="3" t="inlineStr">
        <is>
          <t>Tháng 01, 02, 03, 04 và Tháng 07 đã được điền 100% số liệu thực tế đã qua kiểm toán đối soát chính thức của Tập đoàn VPS.</t>
        </is>
      </c>
    </row>
    <row r="6" ht="46" customHeight="1">
      <c r="B6" s="2" t="inlineStr">
        <is>
          <t>3. Quy ước màu sắc khi nhập liệu:</t>
        </is>
      </c>
      <c r="C6" s="3" t="inlineStr">
        <is>
          <t>🟡 CÁC Ô MÀU VÀNG NHẠT (Cột D, F, G, H, I của từng bộ phận): Là các ô đơn vị cần nhập số liệu phát sinh trong tháng.
⚪ CÁC Ô MÀU TRẮNG / XÁM / XANH: Là CÔNG THỨC TỰ ĐỘNG (Tự động tính % Lãi gộp, tự động tính LNTT, tự động cộng lũy kế từ tháng trước, tự động cộng tổng công ty). Đơn vị TUYỆT ĐỐI KHÔNG SỬA CÔNG THỨC.</t>
        </is>
      </c>
    </row>
    <row r="7" ht="46" customHeight="1">
      <c r="B7" s="2" t="inlineStr">
        <is>
          <t>4. Đơn vị chỉ cần nhập đúng 5 số:</t>
        </is>
      </c>
      <c r="C7" s="3" t="inlineStr">
        <is>
          <t>Mỗi bộ phận hàng tháng chỉ cần nhập đúng 5 chỉ tiêu:
  (1) Doanh số tháng (Cột D)
  (2) Lãi gộp tháng (Cột F)
  (3) Hỗ trợ LG tháng (Cột G - nếu có)
  (4) Chi phí tháng (Cột H)
  (5) Thu nhập khác tháng (Cột I - nếu có)</t>
        </is>
      </c>
    </row>
    <row r="8" ht="26" customHeight="1">
      <c r="B8" s="2" t="inlineStr">
        <is>
          <t>5. Tự động tính lũy kế (YTD):</t>
        </is>
      </c>
      <c r="C8" s="3" t="inlineStr">
        <is>
          <t>Cột K, L, M, N, O, P, Q (Lũy kế các tháng) đã được cài sẵn công thức liên kết tự động cộng dồn: [Lũy kế Tháng m] = [Lũy kế Tháng m-1] + [Số liệu Tháng m]. Bạn không cần phải tự tính tay.</t>
        </is>
      </c>
    </row>
    <row r="9" ht="26" customHeight="1">
      <c r="B9" s="2" t="inlineStr">
        <is>
          <t>6. Tải lên Google Sheets:</t>
        </is>
      </c>
      <c r="C9" s="3" t="inlineStr">
        <is>
          <t>Sau khi điền hoặc cập nhật, lưu file và tải lên Google Drive -&gt; Mở bằng Google Trang tính (Google Sheets).</t>
        </is>
      </c>
    </row>
    <row r="10" ht="26" customHeight="1">
      <c r="B10" s="2" t="inlineStr">
        <is>
          <t>7. Chia sẻ quyền xem:</t>
        </is>
      </c>
      <c r="C10" s="3" t="inlineStr">
        <is>
          <t>Nhấn 'Chia sẻ' (Share) trên Google Sheets -&gt; Chọn 'Bất kỳ ai có đường liên kết' -&gt; Quyền 'Người xem' (Viewer) -&gt; Nhấn 'Sao chép đường liên kết'.</t>
        </is>
      </c>
    </row>
    <row r="11" ht="26" customHeight="1">
      <c r="B11" s="2" t="inlineStr">
        <is>
          <t>8. Quét tự động vào Dashboard:</t>
        </is>
      </c>
      <c r="C11" s="3" t="inlineStr">
        <is>
          <t>Mở Dashboard -&gt; Mục 13. Kết Quả KD -&gt; Nhấn 'Kết nối Google Sheet' -&gt; Dán link và nhấn 'Lưu &amp; Quét Dữ Liệu'. Toàn bộ các tháng (kể cả Tháng 8, 9, 10, 11, 12) sẽ tự động nạp và cập nhật lũy kế chuẩn xác 100%!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01/2026 VÀ LŨY KẾ 1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01</t>
        </is>
      </c>
      <c r="K5" s="10" t="inlineStr">
        <is>
          <t>LŨY KẾ 1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 t="n">
        <v>27440</v>
      </c>
      <c r="E7" s="15" t="n">
        <v>0.2915816326530613</v>
      </c>
      <c r="F7" s="14" t="n">
        <v>8001</v>
      </c>
      <c r="G7" s="14" t="n">
        <v>1073</v>
      </c>
      <c r="H7" s="14" t="n">
        <v>6908</v>
      </c>
      <c r="I7" s="14" t="n">
        <v>1108</v>
      </c>
      <c r="J7" s="14" t="n">
        <v>3275</v>
      </c>
      <c r="K7" s="14" t="n">
        <v>27440</v>
      </c>
      <c r="L7" s="15" t="n">
        <v>0.2915816326530613</v>
      </c>
      <c r="M7" s="14" t="n">
        <v>8001</v>
      </c>
      <c r="N7" s="14" t="n">
        <v>1073</v>
      </c>
      <c r="O7" s="14" t="n">
        <v>6908</v>
      </c>
      <c r="P7" s="14" t="n">
        <v>1108</v>
      </c>
      <c r="Q7" s="14" t="n">
        <v>3275</v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 t="n">
        <v>21624</v>
      </c>
      <c r="E8" s="20" t="n">
        <v>0.3072974472807991</v>
      </c>
      <c r="F8" s="19" t="n">
        <v>6645</v>
      </c>
      <c r="G8" s="19" t="n">
        <v>0</v>
      </c>
      <c r="H8" s="19" t="n">
        <v>3881</v>
      </c>
      <c r="I8" s="19" t="n">
        <v>1</v>
      </c>
      <c r="J8" s="19" t="n">
        <v>2766</v>
      </c>
      <c r="K8" s="19" t="n">
        <v>21624</v>
      </c>
      <c r="L8" s="20" t="n">
        <v>0.3072974472807991</v>
      </c>
      <c r="M8" s="19" t="n">
        <v>6645</v>
      </c>
      <c r="N8" s="19" t="n">
        <v>0</v>
      </c>
      <c r="O8" s="19" t="n">
        <v>3881</v>
      </c>
      <c r="P8" s="19" t="n">
        <v>1</v>
      </c>
      <c r="Q8" s="19" t="n">
        <v>2766</v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 t="n">
        <v>2224</v>
      </c>
      <c r="E9" s="25" t="n">
        <v>0.3547661870503597</v>
      </c>
      <c r="F9" s="24" t="n">
        <v>789</v>
      </c>
      <c r="G9" s="24" t="inlineStr"/>
      <c r="H9" s="24" t="n">
        <v>771</v>
      </c>
      <c r="I9" s="24" t="n">
        <v>1</v>
      </c>
      <c r="J9" s="24" t="n">
        <v>18</v>
      </c>
      <c r="K9" s="24" t="n">
        <v>2224</v>
      </c>
      <c r="L9" s="25" t="n">
        <v>0.3547661870503597</v>
      </c>
      <c r="M9" s="24" t="n">
        <v>789</v>
      </c>
      <c r="N9" s="24" t="inlineStr"/>
      <c r="O9" s="24" t="n">
        <v>771</v>
      </c>
      <c r="P9" s="24" t="n">
        <v>1</v>
      </c>
      <c r="Q9" s="24" t="n">
        <v>18</v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29" t="inlineStr"/>
      <c r="E10" s="30" t="n">
        <v>0.31</v>
      </c>
      <c r="F10" s="29" t="inlineStr"/>
      <c r="G10" s="29" t="inlineStr"/>
      <c r="H10" s="29" t="inlineStr"/>
      <c r="I10" s="29" t="inlineStr"/>
      <c r="J10" s="29" t="inlineStr"/>
      <c r="K10" s="29" t="inlineStr"/>
      <c r="L10" s="30" t="n">
        <v>0.31</v>
      </c>
      <c r="M10" s="29" t="inlineStr"/>
      <c r="N10" s="29" t="inlineStr"/>
      <c r="O10" s="29" t="inlineStr"/>
      <c r="P10" s="29" t="inlineStr"/>
      <c r="Q10" s="29" t="inlineStr"/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29" t="inlineStr"/>
      <c r="E11" s="30" t="n">
        <v>0.45</v>
      </c>
      <c r="F11" s="29" t="inlineStr"/>
      <c r="G11" s="29" t="inlineStr"/>
      <c r="H11" s="29" t="inlineStr"/>
      <c r="I11" s="29" t="inlineStr"/>
      <c r="J11" s="29" t="inlineStr"/>
      <c r="K11" s="29" t="inlineStr"/>
      <c r="L11" s="30" t="n">
        <v>0.45</v>
      </c>
      <c r="M11" s="29" t="inlineStr"/>
      <c r="N11" s="29" t="inlineStr"/>
      <c r="O11" s="29" t="inlineStr"/>
      <c r="P11" s="29" t="inlineStr"/>
      <c r="Q11" s="29" t="inlineStr"/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29" t="inlineStr"/>
      <c r="E12" s="30" t="n">
        <v>0.37</v>
      </c>
      <c r="F12" s="29" t="inlineStr"/>
      <c r="G12" s="29" t="inlineStr"/>
      <c r="H12" s="29" t="inlineStr"/>
      <c r="I12" s="29" t="inlineStr"/>
      <c r="J12" s="29" t="inlineStr"/>
      <c r="K12" s="29" t="inlineStr"/>
      <c r="L12" s="30" t="n">
        <v>0.37</v>
      </c>
      <c r="M12" s="29" t="inlineStr"/>
      <c r="N12" s="29" t="inlineStr"/>
      <c r="O12" s="29" t="inlineStr"/>
      <c r="P12" s="29" t="inlineStr"/>
      <c r="Q12" s="29" t="inlineStr"/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29" t="inlineStr"/>
      <c r="E13" s="30" t="n">
        <v>0.6</v>
      </c>
      <c r="F13" s="29" t="inlineStr"/>
      <c r="G13" s="29" t="inlineStr"/>
      <c r="H13" s="29" t="inlineStr"/>
      <c r="I13" s="29" t="inlineStr"/>
      <c r="J13" s="29" t="inlineStr"/>
      <c r="K13" s="29" t="inlineStr"/>
      <c r="L13" s="30" t="n">
        <v>0.6</v>
      </c>
      <c r="M13" s="29" t="inlineStr"/>
      <c r="N13" s="29" t="inlineStr"/>
      <c r="O13" s="29" t="inlineStr"/>
      <c r="P13" s="29" t="inlineStr"/>
      <c r="Q13" s="29" t="inlineStr"/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29" t="inlineStr"/>
      <c r="E14" s="30" t="n">
        <v>0.07000000000000001</v>
      </c>
      <c r="F14" s="29" t="n">
        <v>9400</v>
      </c>
      <c r="G14" s="29" t="inlineStr"/>
      <c r="H14" s="29" t="inlineStr"/>
      <c r="I14" s="29" t="inlineStr"/>
      <c r="J14" s="29" t="inlineStr"/>
      <c r="K14" s="29" t="inlineStr"/>
      <c r="L14" s="30" t="n">
        <v>0.07000000000000001</v>
      </c>
      <c r="M14" s="29" t="n">
        <v>9400</v>
      </c>
      <c r="N14" s="29" t="inlineStr"/>
      <c r="O14" s="29" t="inlineStr"/>
      <c r="P14" s="29" t="inlineStr"/>
      <c r="Q14" s="29" t="inlineStr"/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29" t="inlineStr"/>
      <c r="E15" s="30" t="n">
        <v>0.1</v>
      </c>
      <c r="F15" s="29" t="inlineStr"/>
      <c r="G15" s="29" t="inlineStr"/>
      <c r="H15" s="29" t="n">
        <v>139</v>
      </c>
      <c r="I15" s="29" t="inlineStr"/>
      <c r="J15" s="29" t="n">
        <v>18</v>
      </c>
      <c r="K15" s="29" t="inlineStr"/>
      <c r="L15" s="30" t="n">
        <v>0.1</v>
      </c>
      <c r="M15" s="29" t="inlineStr"/>
      <c r="N15" s="29" t="inlineStr"/>
      <c r="O15" s="29" t="n">
        <v>139</v>
      </c>
      <c r="P15" s="29" t="inlineStr"/>
      <c r="Q15" s="29" t="n">
        <v>18</v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29" t="inlineStr"/>
      <c r="E16" s="30" t="n">
        <v>0.07000000000000001</v>
      </c>
      <c r="F16" s="29" t="inlineStr"/>
      <c r="G16" s="29" t="inlineStr"/>
      <c r="H16" s="29" t="n">
        <v>451</v>
      </c>
      <c r="I16" s="29" t="n">
        <v>1</v>
      </c>
      <c r="J16" s="31" t="n">
        <v>-76</v>
      </c>
      <c r="K16" s="29" t="inlineStr"/>
      <c r="L16" s="30" t="n">
        <v>0.07000000000000001</v>
      </c>
      <c r="M16" s="29" t="inlineStr"/>
      <c r="N16" s="29" t="inlineStr"/>
      <c r="O16" s="29" t="n">
        <v>451</v>
      </c>
      <c r="P16" s="29" t="n">
        <v>1</v>
      </c>
      <c r="Q16" s="31" t="n">
        <v>-76</v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29" t="inlineStr"/>
      <c r="E17" s="30" t="n">
        <v>0.42</v>
      </c>
      <c r="F17" s="29" t="inlineStr"/>
      <c r="G17" s="29" t="inlineStr"/>
      <c r="H17" s="29" t="n">
        <v>2520</v>
      </c>
      <c r="I17" s="29" t="inlineStr"/>
      <c r="J17" s="29" t="n">
        <v>2805</v>
      </c>
      <c r="K17" s="29" t="inlineStr"/>
      <c r="L17" s="30" t="n">
        <v>0.42</v>
      </c>
      <c r="M17" s="29" t="inlineStr"/>
      <c r="N17" s="29" t="inlineStr"/>
      <c r="O17" s="29" t="n">
        <v>2520</v>
      </c>
      <c r="P17" s="29" t="inlineStr"/>
      <c r="Q17" s="29" t="n">
        <v>2805</v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 t="n">
        <v>5393</v>
      </c>
      <c r="E18" s="20" t="n">
        <v>0.230113109586501</v>
      </c>
      <c r="F18" s="19" t="n">
        <v>1241</v>
      </c>
      <c r="G18" s="19" t="n">
        <v>33</v>
      </c>
      <c r="H18" s="19" t="n">
        <v>1043</v>
      </c>
      <c r="I18" s="19" t="n">
        <v>5</v>
      </c>
      <c r="J18" s="19" t="n">
        <v>236</v>
      </c>
      <c r="K18" s="19" t="n">
        <v>5393</v>
      </c>
      <c r="L18" s="20" t="n">
        <v>0.230113109586501</v>
      </c>
      <c r="M18" s="19" t="n">
        <v>1241</v>
      </c>
      <c r="N18" s="19" t="n">
        <v>33</v>
      </c>
      <c r="O18" s="19" t="n">
        <v>1043</v>
      </c>
      <c r="P18" s="19" t="n">
        <v>5</v>
      </c>
      <c r="Q18" s="19" t="n">
        <v>236</v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29" t="n">
        <v>1578</v>
      </c>
      <c r="E19" s="30" t="n">
        <v>0.5627376425855514</v>
      </c>
      <c r="F19" s="29" t="n">
        <v>888</v>
      </c>
      <c r="G19" s="29" t="inlineStr"/>
      <c r="H19" s="29" t="n">
        <v>687</v>
      </c>
      <c r="I19" s="29" t="n">
        <v>5</v>
      </c>
      <c r="J19" s="29" t="n">
        <v>206</v>
      </c>
      <c r="K19" s="29" t="n">
        <v>1578</v>
      </c>
      <c r="L19" s="30" t="n">
        <v>0.5627376425855514</v>
      </c>
      <c r="M19" s="29" t="n">
        <v>888</v>
      </c>
      <c r="N19" s="29" t="inlineStr"/>
      <c r="O19" s="29" t="n">
        <v>687</v>
      </c>
      <c r="P19" s="29" t="inlineStr"/>
      <c r="Q19" s="29" t="n">
        <v>206</v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29" t="inlineStr"/>
      <c r="E20" s="30" t="n">
        <v>0.09</v>
      </c>
      <c r="F20" s="29" t="n">
        <v>177</v>
      </c>
      <c r="G20" s="29" t="inlineStr"/>
      <c r="H20" s="29" t="n">
        <v>160</v>
      </c>
      <c r="I20" s="29" t="inlineStr"/>
      <c r="J20" s="29" t="n">
        <v>17</v>
      </c>
      <c r="K20" s="29" t="n">
        <v>1891</v>
      </c>
      <c r="L20" s="30" t="n">
        <v>0.09360126916975145</v>
      </c>
      <c r="M20" s="29" t="n">
        <v>177</v>
      </c>
      <c r="N20" s="29" t="inlineStr"/>
      <c r="O20" s="29" t="n">
        <v>160</v>
      </c>
      <c r="P20" s="29" t="inlineStr"/>
      <c r="Q20" s="29" t="n">
        <v>17</v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29" t="inlineStr"/>
      <c r="E21" s="30" t="n">
        <v>0.07000000000000001</v>
      </c>
      <c r="F21" s="29" t="n">
        <v>120</v>
      </c>
      <c r="G21" s="29" t="inlineStr"/>
      <c r="H21" s="29" t="n">
        <v>165</v>
      </c>
      <c r="I21" s="29" t="inlineStr"/>
      <c r="J21" s="31" t="n">
        <v>-45</v>
      </c>
      <c r="K21" s="29" t="n">
        <v>1776</v>
      </c>
      <c r="L21" s="30" t="n">
        <v>0.06756756756756757</v>
      </c>
      <c r="M21" s="29" t="n">
        <v>120</v>
      </c>
      <c r="N21" s="29" t="inlineStr"/>
      <c r="O21" s="29" t="n">
        <v>165</v>
      </c>
      <c r="P21" s="29" t="inlineStr"/>
      <c r="Q21" s="31" t="n">
        <v>-45</v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29" t="inlineStr"/>
      <c r="E22" s="30" t="n">
        <v>0.38</v>
      </c>
      <c r="F22" s="29" t="n">
        <v>57</v>
      </c>
      <c r="G22" s="29" t="inlineStr"/>
      <c r="H22" s="29" t="n">
        <v>32</v>
      </c>
      <c r="I22" s="29" t="inlineStr"/>
      <c r="J22" s="29" t="n">
        <v>26</v>
      </c>
      <c r="K22" s="29" t="n">
        <v>149</v>
      </c>
      <c r="L22" s="30" t="n">
        <v>0.3825503355704698</v>
      </c>
      <c r="M22" s="29" t="n">
        <v>57</v>
      </c>
      <c r="N22" s="29" t="inlineStr"/>
      <c r="O22" s="29" t="n">
        <v>32</v>
      </c>
      <c r="P22" s="29" t="inlineStr"/>
      <c r="Q22" s="29" t="n">
        <v>26</v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n">
        <v>423</v>
      </c>
      <c r="E23" s="20" t="n">
        <v>0.2718676122931442</v>
      </c>
      <c r="F23" s="19" t="n">
        <v>115</v>
      </c>
      <c r="G23" s="19" t="inlineStr"/>
      <c r="H23" s="19" t="n">
        <v>124</v>
      </c>
      <c r="I23" s="19" t="inlineStr"/>
      <c r="J23" s="32" t="n">
        <v>-9</v>
      </c>
      <c r="K23" s="19" t="n">
        <v>423</v>
      </c>
      <c r="L23" s="20" t="n">
        <v>0.2718676122931442</v>
      </c>
      <c r="M23" s="19" t="n">
        <v>115</v>
      </c>
      <c r="N23" s="19" t="inlineStr"/>
      <c r="O23" s="19" t="n">
        <v>124</v>
      </c>
      <c r="P23" s="19" t="inlineStr"/>
      <c r="Q23" s="32" t="n">
        <v>-9</v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 t="n">
        <v>0</v>
      </c>
      <c r="E24" s="20" t="n">
        <v>0</v>
      </c>
      <c r="F24" s="19" t="n">
        <v>0</v>
      </c>
      <c r="G24" s="19" t="n">
        <v>1040</v>
      </c>
      <c r="H24" s="19" t="n">
        <v>1860</v>
      </c>
      <c r="I24" s="19" t="n">
        <v>1102</v>
      </c>
      <c r="J24" s="19" t="n">
        <v>282</v>
      </c>
      <c r="K24" s="19" t="n">
        <v>0</v>
      </c>
      <c r="L24" s="20" t="n">
        <v>0</v>
      </c>
      <c r="M24" s="19" t="n">
        <v>0</v>
      </c>
      <c r="N24" s="19" t="n">
        <v>1040</v>
      </c>
      <c r="O24" s="19" t="n">
        <v>1860</v>
      </c>
      <c r="P24" s="19" t="n">
        <v>1102</v>
      </c>
      <c r="Q24" s="19" t="n">
        <v>282</v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29" t="inlineStr"/>
      <c r="E25" s="30" t="inlineStr"/>
      <c r="F25" s="29" t="inlineStr"/>
      <c r="G25" s="29" t="n">
        <v>1040</v>
      </c>
      <c r="H25" s="29" t="n">
        <v>553</v>
      </c>
      <c r="I25" s="29" t="n">
        <v>250</v>
      </c>
      <c r="J25" s="29" t="n">
        <v>737</v>
      </c>
      <c r="K25" s="29" t="inlineStr"/>
      <c r="L25" s="30" t="inlineStr"/>
      <c r="M25" s="29" t="inlineStr"/>
      <c r="N25" s="29" t="n">
        <v>1040</v>
      </c>
      <c r="O25" s="29" t="n">
        <v>553</v>
      </c>
      <c r="P25" s="29" t="n">
        <v>250</v>
      </c>
      <c r="Q25" s="29" t="n">
        <v>737</v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29" t="inlineStr"/>
      <c r="E26" s="30" t="inlineStr"/>
      <c r="F26" s="29" t="inlineStr"/>
      <c r="G26" s="29" t="inlineStr"/>
      <c r="H26" s="29" t="n">
        <v>1307</v>
      </c>
      <c r="I26" s="29" t="n">
        <v>852</v>
      </c>
      <c r="J26" s="31" t="n">
        <v>-455</v>
      </c>
      <c r="K26" s="29" t="inlineStr"/>
      <c r="L26" s="30" t="inlineStr"/>
      <c r="M26" s="29" t="inlineStr"/>
      <c r="N26" s="29" t="inlineStr"/>
      <c r="O26" s="29" t="n">
        <v>1307</v>
      </c>
      <c r="P26" s="29" t="n">
        <v>852</v>
      </c>
      <c r="Q26" s="31" t="n">
        <v>-455</v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 t="n">
        <v>10080</v>
      </c>
      <c r="E27" s="20" t="n">
        <v>0.2850198412698413</v>
      </c>
      <c r="F27" s="19" t="n">
        <v>2873</v>
      </c>
      <c r="G27" s="19" t="n">
        <v>0</v>
      </c>
      <c r="H27" s="19" t="n">
        <v>2126</v>
      </c>
      <c r="I27" s="19" t="n">
        <v>19</v>
      </c>
      <c r="J27" s="19" t="n">
        <v>766</v>
      </c>
      <c r="K27" s="19" t="n">
        <v>10080</v>
      </c>
      <c r="L27" s="20" t="n">
        <v>0.2850198412698413</v>
      </c>
      <c r="M27" s="19" t="n">
        <v>2873</v>
      </c>
      <c r="N27" s="19" t="n">
        <v>0</v>
      </c>
      <c r="O27" s="19" t="n">
        <v>2126</v>
      </c>
      <c r="P27" s="19" t="n">
        <v>19</v>
      </c>
      <c r="Q27" s="19" t="n">
        <v>766</v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 t="n">
        <v>6701</v>
      </c>
      <c r="E28" s="25" t="n">
        <v>0.1486345321593792</v>
      </c>
      <c r="F28" s="24" t="n">
        <v>996</v>
      </c>
      <c r="G28" s="24" t="inlineStr"/>
      <c r="H28" s="24" t="n">
        <v>854</v>
      </c>
      <c r="I28" s="24" t="n">
        <v>7</v>
      </c>
      <c r="J28" s="24" t="n">
        <v>149</v>
      </c>
      <c r="K28" s="24" t="n">
        <v>6701</v>
      </c>
      <c r="L28" s="25" t="n">
        <v>0.1486345321593792</v>
      </c>
      <c r="M28" s="24" t="n">
        <v>996</v>
      </c>
      <c r="N28" s="24" t="inlineStr"/>
      <c r="O28" s="24" t="n">
        <v>854</v>
      </c>
      <c r="P28" s="24" t="n">
        <v>7</v>
      </c>
      <c r="Q28" s="24" t="n">
        <v>149</v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29" t="n">
        <v>665</v>
      </c>
      <c r="E29" s="30" t="n">
        <v>0.2992481203007519</v>
      </c>
      <c r="F29" s="29" t="n">
        <v>199</v>
      </c>
      <c r="G29" s="29" t="inlineStr"/>
      <c r="H29" s="29" t="n">
        <v>135</v>
      </c>
      <c r="I29" s="29" t="n">
        <v>1</v>
      </c>
      <c r="J29" s="29" t="n">
        <v>65</v>
      </c>
      <c r="K29" s="29" t="n">
        <v>665</v>
      </c>
      <c r="L29" s="30" t="n">
        <v>0.2992481203007519</v>
      </c>
      <c r="M29" s="29" t="n">
        <v>199</v>
      </c>
      <c r="N29" s="29" t="inlineStr"/>
      <c r="O29" s="29" t="n">
        <v>135</v>
      </c>
      <c r="P29" s="29" t="n">
        <v>1</v>
      </c>
      <c r="Q29" s="29" t="n">
        <v>65</v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29" t="n">
        <v>3408</v>
      </c>
      <c r="E30" s="30" t="n">
        <v>0.113556338028169</v>
      </c>
      <c r="F30" s="29" t="n">
        <v>387</v>
      </c>
      <c r="G30" s="29" t="inlineStr"/>
      <c r="H30" s="29" t="n">
        <v>460</v>
      </c>
      <c r="I30" s="29" t="n">
        <v>4</v>
      </c>
      <c r="J30" s="31" t="n">
        <v>-69</v>
      </c>
      <c r="K30" s="29" t="n">
        <v>3408</v>
      </c>
      <c r="L30" s="30" t="n">
        <v>0.113556338028169</v>
      </c>
      <c r="M30" s="29" t="n">
        <v>387</v>
      </c>
      <c r="N30" s="29" t="inlineStr"/>
      <c r="O30" s="29" t="n">
        <v>460</v>
      </c>
      <c r="P30" s="29" t="n">
        <v>4</v>
      </c>
      <c r="Q30" s="31" t="n">
        <v>-69</v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29" t="n">
        <v>2229</v>
      </c>
      <c r="E31" s="30" t="n">
        <v>0.0547330641543293</v>
      </c>
      <c r="F31" s="29" t="n">
        <v>122</v>
      </c>
      <c r="G31" s="29" t="inlineStr"/>
      <c r="H31" s="29" t="n">
        <v>77</v>
      </c>
      <c r="I31" s="29" t="n">
        <v>2</v>
      </c>
      <c r="J31" s="29" t="n">
        <v>47</v>
      </c>
      <c r="K31" s="29" t="n">
        <v>2229</v>
      </c>
      <c r="L31" s="30" t="n">
        <v>0.0547330641543293</v>
      </c>
      <c r="M31" s="29" t="n">
        <v>122</v>
      </c>
      <c r="N31" s="29" t="inlineStr"/>
      <c r="O31" s="29" t="n">
        <v>77</v>
      </c>
      <c r="P31" s="29" t="n">
        <v>2</v>
      </c>
      <c r="Q31" s="29" t="n">
        <v>47</v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29" t="n">
        <v>399</v>
      </c>
      <c r="E32" s="30" t="n">
        <v>0.7218045112781954</v>
      </c>
      <c r="F32" s="29" t="n">
        <v>288</v>
      </c>
      <c r="G32" s="29" t="inlineStr"/>
      <c r="H32" s="29" t="n">
        <v>182</v>
      </c>
      <c r="I32" s="29" t="inlineStr"/>
      <c r="J32" s="29" t="n">
        <v>106</v>
      </c>
      <c r="K32" s="29" t="n">
        <v>399</v>
      </c>
      <c r="L32" s="30" t="n">
        <v>0.7218045112781954</v>
      </c>
      <c r="M32" s="29" t="n">
        <v>288</v>
      </c>
      <c r="N32" s="29" t="inlineStr"/>
      <c r="O32" s="29" t="n">
        <v>182</v>
      </c>
      <c r="P32" s="29" t="inlineStr"/>
      <c r="Q32" s="29" t="n">
        <v>106</v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 t="n">
        <v>3379</v>
      </c>
      <c r="E33" s="25" t="n">
        <v>0.5554897898786624</v>
      </c>
      <c r="F33" s="24" t="n">
        <v>1877</v>
      </c>
      <c r="G33" s="24" t="inlineStr"/>
      <c r="H33" s="24" t="n">
        <v>1272</v>
      </c>
      <c r="I33" s="24" t="n">
        <v>11</v>
      </c>
      <c r="J33" s="24" t="n">
        <v>616</v>
      </c>
      <c r="K33" s="24" t="n">
        <v>3379</v>
      </c>
      <c r="L33" s="25" t="n">
        <v>0.5554897898786624</v>
      </c>
      <c r="M33" s="24" t="n">
        <v>1877</v>
      </c>
      <c r="N33" s="24" t="inlineStr"/>
      <c r="O33" s="24" t="n">
        <v>1272</v>
      </c>
      <c r="P33" s="24" t="n">
        <v>11</v>
      </c>
      <c r="Q33" s="24" t="n">
        <v>616</v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29" t="n">
        <v>1714</v>
      </c>
      <c r="E34" s="30" t="n">
        <v>0.6995332555425904</v>
      </c>
      <c r="F34" s="29" t="n">
        <v>1199</v>
      </c>
      <c r="G34" s="29" t="inlineStr"/>
      <c r="H34" s="29" t="n">
        <v>870</v>
      </c>
      <c r="I34" s="29" t="n">
        <v>9</v>
      </c>
      <c r="J34" s="29" t="n">
        <v>338</v>
      </c>
      <c r="K34" s="29" t="n">
        <v>1714</v>
      </c>
      <c r="L34" s="30" t="n">
        <v>0.6995332555425904</v>
      </c>
      <c r="M34" s="29" t="n">
        <v>1199</v>
      </c>
      <c r="N34" s="29" t="inlineStr"/>
      <c r="O34" s="29" t="n">
        <v>870</v>
      </c>
      <c r="P34" s="29" t="n">
        <v>9</v>
      </c>
      <c r="Q34" s="29" t="n">
        <v>338</v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29" t="n">
        <v>280</v>
      </c>
      <c r="E35" s="30" t="n">
        <v>0.5964285714285714</v>
      </c>
      <c r="F35" s="29" t="n">
        <v>167</v>
      </c>
      <c r="G35" s="29" t="inlineStr"/>
      <c r="H35" s="29" t="inlineStr"/>
      <c r="I35" s="29" t="inlineStr"/>
      <c r="J35" s="29" t="n">
        <v>167</v>
      </c>
      <c r="K35" s="29" t="n">
        <v>280</v>
      </c>
      <c r="L35" s="30" t="n">
        <v>0.5964285714285714</v>
      </c>
      <c r="M35" s="29" t="n">
        <v>167</v>
      </c>
      <c r="N35" s="29" t="inlineStr"/>
      <c r="O35" s="29" t="inlineStr"/>
      <c r="P35" s="29" t="inlineStr"/>
      <c r="Q35" s="29" t="n">
        <v>167</v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29" t="n">
        <v>1385</v>
      </c>
      <c r="E36" s="30" t="n">
        <v>0.3689530685920578</v>
      </c>
      <c r="F36" s="29" t="n">
        <v>511</v>
      </c>
      <c r="G36" s="29" t="inlineStr"/>
      <c r="H36" s="29" t="n">
        <v>402</v>
      </c>
      <c r="I36" s="29" t="n">
        <v>2</v>
      </c>
      <c r="J36" s="29" t="n">
        <v>111</v>
      </c>
      <c r="K36" s="29" t="n">
        <v>1385</v>
      </c>
      <c r="L36" s="30" t="n">
        <v>0.3689530685920578</v>
      </c>
      <c r="M36" s="29" t="n">
        <v>511</v>
      </c>
      <c r="N36" s="29" t="inlineStr"/>
      <c r="O36" s="29" t="n">
        <v>402</v>
      </c>
      <c r="P36" s="29" t="n">
        <v>2</v>
      </c>
      <c r="Q36" s="29" t="n">
        <v>111</v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 t="n">
        <v>2427</v>
      </c>
      <c r="E37" s="15" t="n">
        <v>0.188298310671611</v>
      </c>
      <c r="F37" s="14" t="n">
        <v>457</v>
      </c>
      <c r="G37" s="14" t="n">
        <v>0</v>
      </c>
      <c r="H37" s="14" t="n">
        <v>230</v>
      </c>
      <c r="I37" s="14" t="n">
        <v>0</v>
      </c>
      <c r="J37" s="14" t="n">
        <v>227</v>
      </c>
      <c r="K37" s="14" t="n">
        <v>2427</v>
      </c>
      <c r="L37" s="15" t="n">
        <v>0.188298310671611</v>
      </c>
      <c r="M37" s="14" t="n">
        <v>457</v>
      </c>
      <c r="N37" s="14" t="n">
        <v>0</v>
      </c>
      <c r="O37" s="14" t="n">
        <v>230</v>
      </c>
      <c r="P37" s="14" t="n">
        <v>0</v>
      </c>
      <c r="Q37" s="14" t="n">
        <v>227</v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29" t="n">
        <v>1620</v>
      </c>
      <c r="E38" s="30" t="n">
        <v>0.1061728395061728</v>
      </c>
      <c r="F38" s="29" t="n">
        <v>172</v>
      </c>
      <c r="G38" s="29" t="inlineStr"/>
      <c r="H38" s="29" t="inlineStr"/>
      <c r="I38" s="29" t="inlineStr"/>
      <c r="J38" s="29" t="inlineStr"/>
      <c r="K38" s="29" t="inlineStr"/>
      <c r="L38" s="30" t="n">
        <v>0.11</v>
      </c>
      <c r="M38" s="29" t="n">
        <v>172</v>
      </c>
      <c r="N38" s="29" t="inlineStr"/>
      <c r="O38" s="29" t="inlineStr"/>
      <c r="P38" s="29" t="inlineStr"/>
      <c r="Q38" s="29" t="inlineStr"/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29" t="n">
        <v>306</v>
      </c>
      <c r="E39" s="30" t="n">
        <v>0.1601307189542484</v>
      </c>
      <c r="F39" s="29" t="n">
        <v>49</v>
      </c>
      <c r="G39" s="29" t="inlineStr"/>
      <c r="H39" s="29" t="inlineStr"/>
      <c r="I39" s="29" t="inlineStr"/>
      <c r="J39" s="29" t="inlineStr"/>
      <c r="K39" s="29" t="inlineStr"/>
      <c r="L39" s="30" t="n">
        <v>0.16</v>
      </c>
      <c r="M39" s="29" t="n">
        <v>49</v>
      </c>
      <c r="N39" s="29" t="inlineStr"/>
      <c r="O39" s="29" t="inlineStr"/>
      <c r="P39" s="29" t="inlineStr"/>
      <c r="Q39" s="29" t="inlineStr"/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29" t="n">
        <v>106</v>
      </c>
      <c r="E40" s="30" t="n">
        <v>0.08490566037735849</v>
      </c>
      <c r="F40" s="29" t="n">
        <v>9</v>
      </c>
      <c r="G40" s="29" t="inlineStr"/>
      <c r="H40" s="29" t="inlineStr"/>
      <c r="I40" s="29" t="inlineStr"/>
      <c r="J40" s="29" t="inlineStr"/>
      <c r="K40" s="29" t="inlineStr"/>
      <c r="L40" s="30" t="n">
        <v>0.08</v>
      </c>
      <c r="M40" s="29" t="n">
        <v>9</v>
      </c>
      <c r="N40" s="29" t="inlineStr"/>
      <c r="O40" s="29" t="inlineStr"/>
      <c r="P40" s="29" t="inlineStr"/>
      <c r="Q40" s="29" t="inlineStr"/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29" t="n">
        <v>166</v>
      </c>
      <c r="E41" s="30" t="n">
        <v>0.4879518072289157</v>
      </c>
      <c r="F41" s="29" t="n">
        <v>81</v>
      </c>
      <c r="G41" s="29" t="inlineStr"/>
      <c r="H41" s="29" t="inlineStr"/>
      <c r="I41" s="29" t="inlineStr"/>
      <c r="J41" s="29" t="inlineStr"/>
      <c r="K41" s="29" t="inlineStr"/>
      <c r="L41" s="30" t="n">
        <v>0.49</v>
      </c>
      <c r="M41" s="29" t="n">
        <v>81</v>
      </c>
      <c r="N41" s="29" t="inlineStr"/>
      <c r="O41" s="29" t="inlineStr"/>
      <c r="P41" s="29" t="inlineStr"/>
      <c r="Q41" s="29" t="inlineStr"/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29" t="n">
        <v>86</v>
      </c>
      <c r="E42" s="30" t="n">
        <v>0.7209302325581395</v>
      </c>
      <c r="F42" s="29" t="n">
        <v>62</v>
      </c>
      <c r="G42" s="29" t="inlineStr"/>
      <c r="H42" s="29" t="inlineStr"/>
      <c r="I42" s="29" t="inlineStr"/>
      <c r="J42" s="29" t="inlineStr"/>
      <c r="K42" s="29" t="inlineStr"/>
      <c r="L42" s="30" t="n">
        <v>0.73</v>
      </c>
      <c r="M42" s="29" t="n">
        <v>62</v>
      </c>
      <c r="N42" s="29" t="inlineStr"/>
      <c r="O42" s="29" t="inlineStr"/>
      <c r="P42" s="29" t="inlineStr"/>
      <c r="Q42" s="29" t="inlineStr"/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29" t="n">
        <v>117</v>
      </c>
      <c r="E43" s="30" t="n">
        <v>0.6752136752136753</v>
      </c>
      <c r="F43" s="29" t="n">
        <v>79</v>
      </c>
      <c r="G43" s="29" t="inlineStr"/>
      <c r="H43" s="29" t="inlineStr"/>
      <c r="I43" s="29" t="inlineStr"/>
      <c r="J43" s="29" t="inlineStr"/>
      <c r="K43" s="29" t="inlineStr"/>
      <c r="L43" s="30" t="n">
        <v>0.67</v>
      </c>
      <c r="M43" s="29" t="n">
        <v>79</v>
      </c>
      <c r="N43" s="29" t="inlineStr"/>
      <c r="O43" s="29" t="inlineStr"/>
      <c r="P43" s="29" t="inlineStr"/>
      <c r="Q43" s="29" t="inlineStr"/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29" t="n">
        <v>26</v>
      </c>
      <c r="E44" s="30" t="n">
        <v>0.1923076923076923</v>
      </c>
      <c r="F44" s="29" t="n">
        <v>5</v>
      </c>
      <c r="G44" s="29" t="inlineStr"/>
      <c r="H44" s="29" t="inlineStr"/>
      <c r="I44" s="29" t="inlineStr"/>
      <c r="J44" s="29" t="inlineStr"/>
      <c r="K44" s="29" t="n">
        <v>25500</v>
      </c>
      <c r="L44" s="30" t="n">
        <v>0.000196078431372549</v>
      </c>
      <c r="M44" s="29" t="n">
        <v>5</v>
      </c>
      <c r="N44" s="29" t="inlineStr"/>
      <c r="O44" s="29" t="inlineStr"/>
      <c r="P44" s="29" t="inlineStr"/>
      <c r="Q44" s="29" t="inlineStr"/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 t="n">
        <v>39947</v>
      </c>
      <c r="E45" s="37" t="n">
        <v>0.2836508373595014</v>
      </c>
      <c r="F45" s="36" t="n">
        <v>11331</v>
      </c>
      <c r="G45" s="36" t="n">
        <v>1073</v>
      </c>
      <c r="H45" s="36" t="n">
        <v>9264</v>
      </c>
      <c r="I45" s="36" t="n">
        <v>1127</v>
      </c>
      <c r="J45" s="36" t="n">
        <v>4267</v>
      </c>
      <c r="K45" s="36" t="n">
        <v>39947</v>
      </c>
      <c r="L45" s="37" t="n">
        <v>0.2836508373595014</v>
      </c>
      <c r="M45" s="36" t="n">
        <v>11331</v>
      </c>
      <c r="N45" s="36" t="n">
        <v>1073</v>
      </c>
      <c r="O45" s="36" t="n">
        <v>9264</v>
      </c>
      <c r="P45" s="36" t="n">
        <v>1127</v>
      </c>
      <c r="Q45" s="36" t="n">
        <v>4267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02/2026 VÀ LŨY KẾ 2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02</t>
        </is>
      </c>
      <c r="K5" s="10" t="inlineStr">
        <is>
          <t>LŨY KẾ 2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 t="n">
        <v>8344</v>
      </c>
      <c r="E7" s="15" t="n">
        <v>0.2104506232023011</v>
      </c>
      <c r="F7" s="14" t="n">
        <v>1756</v>
      </c>
      <c r="G7" s="14" t="n">
        <v>79</v>
      </c>
      <c r="H7" s="14" t="n">
        <v>3703</v>
      </c>
      <c r="I7" s="14" t="n">
        <v>1061</v>
      </c>
      <c r="J7" s="38" t="n">
        <v>-2123</v>
      </c>
      <c r="K7" s="14" t="n">
        <v>35784</v>
      </c>
      <c r="L7" s="15" t="n">
        <v>0.2726637603398167</v>
      </c>
      <c r="M7" s="14" t="n">
        <v>9757</v>
      </c>
      <c r="N7" s="14" t="n">
        <v>1152</v>
      </c>
      <c r="O7" s="14" t="n">
        <v>11927</v>
      </c>
      <c r="P7" s="14" t="n">
        <v>2169</v>
      </c>
      <c r="Q7" s="14" t="n">
        <v>1151</v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 t="n">
        <v>4434</v>
      </c>
      <c r="E8" s="20" t="n">
        <v>0.1504285069914299</v>
      </c>
      <c r="F8" s="19" t="n">
        <v>667</v>
      </c>
      <c r="G8" s="19" t="n">
        <v>0</v>
      </c>
      <c r="H8" s="19" t="n">
        <v>1791</v>
      </c>
      <c r="I8" s="19" t="n">
        <v>0</v>
      </c>
      <c r="J8" s="32" t="n">
        <v>-1124</v>
      </c>
      <c r="K8" s="19" t="n">
        <v>26058</v>
      </c>
      <c r="L8" s="20" t="n">
        <v>0.2806048046665132</v>
      </c>
      <c r="M8" s="19" t="n">
        <v>7312</v>
      </c>
      <c r="N8" s="19" t="n">
        <v>0</v>
      </c>
      <c r="O8" s="19" t="n">
        <v>5672</v>
      </c>
      <c r="P8" s="19" t="n">
        <v>1</v>
      </c>
      <c r="Q8" s="19" t="n">
        <v>1642</v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 t="n">
        <v>1473</v>
      </c>
      <c r="E9" s="25" t="n">
        <v>0.2892057026476578</v>
      </c>
      <c r="F9" s="24" t="n">
        <v>426</v>
      </c>
      <c r="G9" s="24" t="inlineStr"/>
      <c r="H9" s="24" t="n">
        <v>753</v>
      </c>
      <c r="I9" s="24" t="inlineStr"/>
      <c r="J9" s="31" t="n">
        <v>-327</v>
      </c>
      <c r="K9" s="24" t="n">
        <v>3697</v>
      </c>
      <c r="L9" s="25" t="n">
        <v>0.3283743575872329</v>
      </c>
      <c r="M9" s="24" t="n">
        <v>1214</v>
      </c>
      <c r="N9" s="24" t="inlineStr"/>
      <c r="O9" s="24" t="n">
        <v>1524</v>
      </c>
      <c r="P9" s="24" t="n">
        <v>1</v>
      </c>
      <c r="Q9" s="31" t="n">
        <v>-309</v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29" t="inlineStr"/>
      <c r="E10" s="30" t="n">
        <v>0.32</v>
      </c>
      <c r="F10" s="29" t="inlineStr"/>
      <c r="G10" s="29" t="inlineStr"/>
      <c r="H10" s="29" t="inlineStr"/>
      <c r="I10" s="29" t="inlineStr"/>
      <c r="J10" s="29" t="inlineStr"/>
      <c r="K10" s="29" t="inlineStr"/>
      <c r="L10" s="30" t="n">
        <v>0.31</v>
      </c>
      <c r="M10" s="29" t="inlineStr"/>
      <c r="N10" s="29" t="inlineStr"/>
      <c r="O10" s="29" t="inlineStr"/>
      <c r="P10" s="29" t="inlineStr"/>
      <c r="Q10" s="29" t="inlineStr"/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29" t="inlineStr"/>
      <c r="E11" s="30" t="n">
        <v>0.61</v>
      </c>
      <c r="F11" s="29" t="inlineStr"/>
      <c r="G11" s="29" t="inlineStr"/>
      <c r="H11" s="29" t="inlineStr"/>
      <c r="I11" s="29" t="inlineStr"/>
      <c r="J11" s="29" t="inlineStr"/>
      <c r="K11" s="29" t="inlineStr"/>
      <c r="L11" s="30" t="n">
        <v>0.5</v>
      </c>
      <c r="M11" s="29" t="inlineStr"/>
      <c r="N11" s="29" t="inlineStr"/>
      <c r="O11" s="29" t="inlineStr"/>
      <c r="P11" s="29" t="inlineStr"/>
      <c r="Q11" s="29" t="inlineStr"/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29" t="inlineStr"/>
      <c r="E12" s="30" t="n">
        <v>0.16</v>
      </c>
      <c r="F12" s="29" t="inlineStr"/>
      <c r="G12" s="29" t="inlineStr"/>
      <c r="H12" s="29" t="inlineStr"/>
      <c r="I12" s="29" t="inlineStr"/>
      <c r="J12" s="29" t="inlineStr"/>
      <c r="K12" s="29" t="inlineStr"/>
      <c r="L12" s="30" t="n">
        <v>0.27</v>
      </c>
      <c r="M12" s="29" t="inlineStr"/>
      <c r="N12" s="29" t="inlineStr"/>
      <c r="O12" s="29" t="inlineStr"/>
      <c r="P12" s="29" t="inlineStr"/>
      <c r="Q12" s="29" t="inlineStr"/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29" t="inlineStr"/>
      <c r="E13" s="30" t="n">
        <v>0.36</v>
      </c>
      <c r="F13" s="29" t="inlineStr"/>
      <c r="G13" s="29" t="inlineStr"/>
      <c r="H13" s="29" t="inlineStr"/>
      <c r="I13" s="29" t="inlineStr"/>
      <c r="J13" s="29" t="inlineStr"/>
      <c r="K13" s="29" t="inlineStr"/>
      <c r="L13" s="30" t="n">
        <v>0.5</v>
      </c>
      <c r="M13" s="29" t="inlineStr"/>
      <c r="N13" s="29" t="inlineStr"/>
      <c r="O13" s="29" t="inlineStr"/>
      <c r="P13" s="29" t="inlineStr"/>
      <c r="Q13" s="29" t="inlineStr"/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29" t="inlineStr"/>
      <c r="E14" s="30" t="n">
        <v>0.03</v>
      </c>
      <c r="F14" s="29" t="inlineStr"/>
      <c r="G14" s="29" t="inlineStr"/>
      <c r="H14" s="29" t="inlineStr"/>
      <c r="I14" s="29" t="inlineStr"/>
      <c r="J14" s="29" t="inlineStr"/>
      <c r="K14" s="29" t="inlineStr"/>
      <c r="L14" s="30" t="n">
        <v>0.05</v>
      </c>
      <c r="M14" s="29" t="n">
        <v>12400</v>
      </c>
      <c r="N14" s="29" t="inlineStr"/>
      <c r="O14" s="29" t="inlineStr"/>
      <c r="P14" s="29" t="inlineStr"/>
      <c r="Q14" s="29" t="inlineStr"/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29" t="inlineStr"/>
      <c r="E15" s="30" t="n">
        <v>0.04</v>
      </c>
      <c r="F15" s="29" t="inlineStr"/>
      <c r="G15" s="29" t="inlineStr"/>
      <c r="H15" s="29" t="n">
        <v>166</v>
      </c>
      <c r="I15" s="29" t="inlineStr"/>
      <c r="J15" s="31" t="n">
        <v>-112</v>
      </c>
      <c r="K15" s="29" t="inlineStr"/>
      <c r="L15" s="30" t="n">
        <v>0.07000000000000001</v>
      </c>
      <c r="M15" s="29" t="inlineStr"/>
      <c r="N15" s="29" t="inlineStr"/>
      <c r="O15" s="29" t="n">
        <v>305</v>
      </c>
      <c r="P15" s="29" t="inlineStr"/>
      <c r="Q15" s="31" t="n">
        <v>-94</v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29" t="inlineStr"/>
      <c r="E16" s="30" t="n">
        <v>0.11</v>
      </c>
      <c r="F16" s="29" t="inlineStr"/>
      <c r="G16" s="29" t="inlineStr"/>
      <c r="H16" s="29" t="n">
        <v>369</v>
      </c>
      <c r="I16" s="29" t="inlineStr"/>
      <c r="J16" s="31" t="n">
        <v>-181</v>
      </c>
      <c r="K16" s="29" t="inlineStr"/>
      <c r="L16" s="30" t="n">
        <v>0.08</v>
      </c>
      <c r="M16" s="29" t="inlineStr"/>
      <c r="N16" s="29" t="inlineStr"/>
      <c r="O16" s="29" t="n">
        <v>820</v>
      </c>
      <c r="P16" s="29" t="n">
        <v>1</v>
      </c>
      <c r="Q16" s="31" t="n">
        <v>-257</v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29" t="inlineStr"/>
      <c r="E17" s="30" t="inlineStr"/>
      <c r="F17" s="29" t="inlineStr"/>
      <c r="G17" s="29" t="inlineStr"/>
      <c r="H17" s="29" t="n">
        <v>503</v>
      </c>
      <c r="I17" s="29" t="inlineStr"/>
      <c r="J17" s="31" t="n">
        <v>-503</v>
      </c>
      <c r="K17" s="29" t="inlineStr"/>
      <c r="L17" s="30" t="n">
        <v>0.42</v>
      </c>
      <c r="M17" s="29" t="inlineStr"/>
      <c r="N17" s="29" t="inlineStr"/>
      <c r="O17" s="29" t="n">
        <v>3023</v>
      </c>
      <c r="P17" s="29" t="inlineStr"/>
      <c r="Q17" s="29" t="n">
        <v>2302</v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 t="n">
        <v>3246</v>
      </c>
      <c r="E18" s="20" t="n">
        <v>0.2880468268638324</v>
      </c>
      <c r="F18" s="19" t="n">
        <v>935</v>
      </c>
      <c r="G18" s="19" t="n">
        <v>1</v>
      </c>
      <c r="H18" s="19" t="n">
        <v>967</v>
      </c>
      <c r="I18" s="19" t="n">
        <v>0</v>
      </c>
      <c r="J18" s="32" t="n">
        <v>-31</v>
      </c>
      <c r="K18" s="19" t="n">
        <v>8639</v>
      </c>
      <c r="L18" s="20" t="n">
        <v>0.2518810047459197</v>
      </c>
      <c r="M18" s="19" t="n">
        <v>2176</v>
      </c>
      <c r="N18" s="19" t="n">
        <v>34</v>
      </c>
      <c r="O18" s="19" t="n">
        <v>2010</v>
      </c>
      <c r="P18" s="19" t="n">
        <v>5</v>
      </c>
      <c r="Q18" s="19" t="n">
        <v>205</v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29" t="n">
        <v>1334</v>
      </c>
      <c r="E19" s="30" t="n">
        <v>0.5697151424287856</v>
      </c>
      <c r="F19" s="29" t="n">
        <v>760</v>
      </c>
      <c r="G19" s="29" t="inlineStr"/>
      <c r="H19" s="29" t="n">
        <v>644</v>
      </c>
      <c r="I19" s="29" t="inlineStr"/>
      <c r="J19" s="29" t="n">
        <v>116</v>
      </c>
      <c r="K19" s="29" t="n">
        <v>2911</v>
      </c>
      <c r="L19" s="30" t="n">
        <v>0.5657849536241841</v>
      </c>
      <c r="M19" s="29" t="n">
        <v>1647</v>
      </c>
      <c r="N19" s="29" t="inlineStr"/>
      <c r="O19" s="29" t="n">
        <v>1331</v>
      </c>
      <c r="P19" s="29" t="inlineStr"/>
      <c r="Q19" s="29" t="n">
        <v>322</v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29" t="inlineStr"/>
      <c r="E20" s="30" t="n">
        <v>0.1</v>
      </c>
      <c r="F20" s="29" t="n">
        <v>93</v>
      </c>
      <c r="G20" s="29" t="inlineStr"/>
      <c r="H20" s="29" t="n">
        <v>139</v>
      </c>
      <c r="I20" s="29" t="inlineStr"/>
      <c r="J20" s="31" t="n">
        <v>-46</v>
      </c>
      <c r="K20" s="29" t="n">
        <v>2849</v>
      </c>
      <c r="L20" s="30" t="n">
        <v>0.09477009477009476</v>
      </c>
      <c r="M20" s="29" t="n">
        <v>270</v>
      </c>
      <c r="N20" s="29" t="inlineStr"/>
      <c r="O20" s="29" t="n">
        <v>299</v>
      </c>
      <c r="P20" s="29" t="inlineStr"/>
      <c r="Q20" s="31" t="n">
        <v>-29</v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29" t="inlineStr"/>
      <c r="E21" s="30" t="n">
        <v>0.08</v>
      </c>
      <c r="F21" s="29" t="n">
        <v>70</v>
      </c>
      <c r="G21" s="29" t="inlineStr"/>
      <c r="H21" s="29" t="n">
        <v>151</v>
      </c>
      <c r="I21" s="29" t="inlineStr"/>
      <c r="J21" s="31" t="n">
        <v>-81</v>
      </c>
      <c r="K21" s="29" t="n">
        <v>2714</v>
      </c>
      <c r="L21" s="30" t="n">
        <v>0.07000736919675755</v>
      </c>
      <c r="M21" s="29" t="n">
        <v>190</v>
      </c>
      <c r="N21" s="29" t="inlineStr"/>
      <c r="O21" s="29" t="n">
        <v>316</v>
      </c>
      <c r="P21" s="29" t="inlineStr"/>
      <c r="Q21" s="31" t="n">
        <v>-126</v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29" t="inlineStr"/>
      <c r="E22" s="30" t="n">
        <v>0.74</v>
      </c>
      <c r="F22" s="29" t="n">
        <v>12</v>
      </c>
      <c r="G22" s="29" t="inlineStr"/>
      <c r="H22" s="29" t="n">
        <v>33</v>
      </c>
      <c r="I22" s="29" t="inlineStr"/>
      <c r="J22" s="31" t="n">
        <v>-21</v>
      </c>
      <c r="K22" s="29" t="n">
        <v>165</v>
      </c>
      <c r="L22" s="30" t="n">
        <v>0.4181818181818182</v>
      </c>
      <c r="M22" s="29" t="n">
        <v>69</v>
      </c>
      <c r="N22" s="29" t="inlineStr"/>
      <c r="O22" s="29" t="n">
        <v>65</v>
      </c>
      <c r="P22" s="29" t="inlineStr"/>
      <c r="Q22" s="29" t="n">
        <v>4</v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n">
        <v>232</v>
      </c>
      <c r="E23" s="20" t="n">
        <v>0.3232758620689655</v>
      </c>
      <c r="F23" s="19" t="n">
        <v>75</v>
      </c>
      <c r="G23" s="19" t="inlineStr"/>
      <c r="H23" s="19" t="n">
        <v>116</v>
      </c>
      <c r="I23" s="19" t="inlineStr"/>
      <c r="J23" s="32" t="n">
        <v>-41</v>
      </c>
      <c r="K23" s="19" t="n">
        <v>655</v>
      </c>
      <c r="L23" s="20" t="n">
        <v>0.2900763358778626</v>
      </c>
      <c r="M23" s="19" t="n">
        <v>190</v>
      </c>
      <c r="N23" s="19" t="inlineStr"/>
      <c r="O23" s="19" t="n">
        <v>240</v>
      </c>
      <c r="P23" s="19" t="inlineStr"/>
      <c r="Q23" s="32" t="n">
        <v>-50</v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 t="n">
        <v>432</v>
      </c>
      <c r="E24" s="20" t="n">
        <v>0.1828703703703704</v>
      </c>
      <c r="F24" s="19" t="n">
        <v>79</v>
      </c>
      <c r="G24" s="19" t="n">
        <v>78</v>
      </c>
      <c r="H24" s="19" t="n">
        <v>829</v>
      </c>
      <c r="I24" s="19" t="n">
        <v>1061</v>
      </c>
      <c r="J24" s="32" t="n">
        <v>-928</v>
      </c>
      <c r="K24" s="19" t="n">
        <v>432</v>
      </c>
      <c r="L24" s="20" t="n">
        <v>0</v>
      </c>
      <c r="M24" s="19" t="n">
        <v>0</v>
      </c>
      <c r="N24" s="19" t="n">
        <v>1118</v>
      </c>
      <c r="O24" s="19" t="n">
        <v>4006</v>
      </c>
      <c r="P24" s="19" t="n">
        <v>2163</v>
      </c>
      <c r="Q24" s="32" t="n">
        <v>-646</v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29" t="n">
        <v>432</v>
      </c>
      <c r="E25" s="30" t="n">
        <v>0.1828703703703704</v>
      </c>
      <c r="F25" s="29" t="n">
        <v>79</v>
      </c>
      <c r="G25" s="29" t="n">
        <v>78</v>
      </c>
      <c r="H25" s="29" t="n">
        <v>829</v>
      </c>
      <c r="I25" s="29" t="n">
        <v>383</v>
      </c>
      <c r="J25" s="31" t="n">
        <v>-289</v>
      </c>
      <c r="K25" s="29" t="n">
        <v>432</v>
      </c>
      <c r="L25" s="30" t="n">
        <v>0.1828703703703704</v>
      </c>
      <c r="M25" s="29" t="n">
        <v>79</v>
      </c>
      <c r="N25" s="29" t="n">
        <v>1118</v>
      </c>
      <c r="O25" s="29" t="n">
        <v>1382</v>
      </c>
      <c r="P25" s="29" t="n">
        <v>633</v>
      </c>
      <c r="Q25" s="29" t="n">
        <v>448</v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29" t="inlineStr"/>
      <c r="E26" s="30" t="inlineStr"/>
      <c r="F26" s="29" t="inlineStr"/>
      <c r="G26" s="29" t="inlineStr"/>
      <c r="H26" s="29" t="n">
        <v>1317</v>
      </c>
      <c r="I26" s="29" t="n">
        <v>678</v>
      </c>
      <c r="J26" s="31" t="n">
        <v>-639</v>
      </c>
      <c r="K26" s="29" t="inlineStr"/>
      <c r="L26" s="30" t="inlineStr"/>
      <c r="M26" s="29" t="inlineStr"/>
      <c r="N26" s="29" t="inlineStr"/>
      <c r="O26" s="29" t="n">
        <v>2624</v>
      </c>
      <c r="P26" s="29" t="n">
        <v>1530</v>
      </c>
      <c r="Q26" s="31" t="n">
        <v>-1094</v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 t="n">
        <v>6330</v>
      </c>
      <c r="E27" s="20" t="n">
        <v>0.3437598736176935</v>
      </c>
      <c r="F27" s="19" t="n">
        <v>2176</v>
      </c>
      <c r="G27" s="19" t="n">
        <v>0</v>
      </c>
      <c r="H27" s="19" t="n">
        <v>2033</v>
      </c>
      <c r="I27" s="32" t="n">
        <v>-8</v>
      </c>
      <c r="J27" s="19" t="n">
        <v>135</v>
      </c>
      <c r="K27" s="19" t="n">
        <v>16410</v>
      </c>
      <c r="L27" s="20" t="n">
        <v>0.3076782449725777</v>
      </c>
      <c r="M27" s="19" t="n">
        <v>5049</v>
      </c>
      <c r="N27" s="19" t="n">
        <v>0</v>
      </c>
      <c r="O27" s="19" t="n">
        <v>4159</v>
      </c>
      <c r="P27" s="19" t="n">
        <v>10</v>
      </c>
      <c r="Q27" s="19" t="n">
        <v>900</v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 t="n">
        <v>3856</v>
      </c>
      <c r="E28" s="25" t="n">
        <v>0.1862033195020747</v>
      </c>
      <c r="F28" s="24" t="n">
        <v>718</v>
      </c>
      <c r="G28" s="24" t="inlineStr"/>
      <c r="H28" s="24" t="n">
        <v>760</v>
      </c>
      <c r="I28" s="31" t="n">
        <v>-5</v>
      </c>
      <c r="J28" s="31" t="n">
        <v>-47</v>
      </c>
      <c r="K28" s="24" t="n">
        <v>10557</v>
      </c>
      <c r="L28" s="25" t="n">
        <v>0.1623567301316662</v>
      </c>
      <c r="M28" s="24" t="n">
        <v>1714</v>
      </c>
      <c r="N28" s="24" t="inlineStr"/>
      <c r="O28" s="24" t="n">
        <v>1614</v>
      </c>
      <c r="P28" s="24" t="n">
        <v>3</v>
      </c>
      <c r="Q28" s="24" t="n">
        <v>103</v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29" t="n">
        <v>327</v>
      </c>
      <c r="E29" s="30" t="n">
        <v>0.2415902140672783</v>
      </c>
      <c r="F29" s="29" t="n">
        <v>79</v>
      </c>
      <c r="G29" s="29" t="inlineStr"/>
      <c r="H29" s="29" t="n">
        <v>109</v>
      </c>
      <c r="I29" s="29" t="inlineStr"/>
      <c r="J29" s="31" t="n">
        <v>-30</v>
      </c>
      <c r="K29" s="29" t="n">
        <v>992</v>
      </c>
      <c r="L29" s="30" t="n">
        <v>0.2802419354838709</v>
      </c>
      <c r="M29" s="29" t="n">
        <v>278</v>
      </c>
      <c r="N29" s="29" t="inlineStr"/>
      <c r="O29" s="29" t="n">
        <v>244</v>
      </c>
      <c r="P29" s="29" t="n">
        <v>1</v>
      </c>
      <c r="Q29" s="29" t="n">
        <v>35</v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29" t="n">
        <v>2004</v>
      </c>
      <c r="E30" s="30" t="n">
        <v>0.1981037924151696</v>
      </c>
      <c r="F30" s="29" t="n">
        <v>397</v>
      </c>
      <c r="G30" s="29" t="inlineStr"/>
      <c r="H30" s="29" t="n">
        <v>440</v>
      </c>
      <c r="I30" s="31" t="n">
        <v>-3</v>
      </c>
      <c r="J30" s="31" t="n">
        <v>-46</v>
      </c>
      <c r="K30" s="29" t="n">
        <v>5412</v>
      </c>
      <c r="L30" s="30" t="n">
        <v>0.1448632668144863</v>
      </c>
      <c r="M30" s="29" t="n">
        <v>784</v>
      </c>
      <c r="N30" s="29" t="inlineStr"/>
      <c r="O30" s="29" t="n">
        <v>900</v>
      </c>
      <c r="P30" s="29" t="n">
        <v>1</v>
      </c>
      <c r="Q30" s="31" t="n">
        <v>-115</v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29" t="n">
        <v>1198</v>
      </c>
      <c r="E31" s="30" t="n">
        <v>0.02170283806343907</v>
      </c>
      <c r="F31" s="29" t="n">
        <v>26</v>
      </c>
      <c r="G31" s="29" t="inlineStr"/>
      <c r="H31" s="29" t="n">
        <v>85</v>
      </c>
      <c r="I31" s="31" t="n">
        <v>-2</v>
      </c>
      <c r="J31" s="31" t="n">
        <v>-61</v>
      </c>
      <c r="K31" s="29" t="n">
        <v>3427</v>
      </c>
      <c r="L31" s="30" t="n">
        <v>0.04289466005252408</v>
      </c>
      <c r="M31" s="29" t="n">
        <v>147</v>
      </c>
      <c r="N31" s="29" t="inlineStr"/>
      <c r="O31" s="29" t="n">
        <v>162</v>
      </c>
      <c r="P31" s="29" t="n">
        <v>1</v>
      </c>
      <c r="Q31" s="31" t="n">
        <v>-14</v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29" t="n">
        <v>327</v>
      </c>
      <c r="E32" s="30" t="n">
        <v>0.6605504587155964</v>
      </c>
      <c r="F32" s="29" t="n">
        <v>216</v>
      </c>
      <c r="G32" s="29" t="inlineStr"/>
      <c r="H32" s="29" t="n">
        <v>126</v>
      </c>
      <c r="I32" s="29" t="inlineStr"/>
      <c r="J32" s="29" t="n">
        <v>90</v>
      </c>
      <c r="K32" s="29" t="n">
        <v>725</v>
      </c>
      <c r="L32" s="30" t="n">
        <v>0.6951724137931035</v>
      </c>
      <c r="M32" s="29" t="n">
        <v>504</v>
      </c>
      <c r="N32" s="29" t="inlineStr"/>
      <c r="O32" s="29" t="n">
        <v>308</v>
      </c>
      <c r="P32" s="29" t="inlineStr"/>
      <c r="Q32" s="29" t="n">
        <v>196</v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 t="n">
        <v>2474</v>
      </c>
      <c r="E33" s="25" t="n">
        <v>0.5893290218270008</v>
      </c>
      <c r="F33" s="24" t="n">
        <v>1458</v>
      </c>
      <c r="G33" s="24" t="inlineStr"/>
      <c r="H33" s="24" t="n">
        <v>1273</v>
      </c>
      <c r="I33" s="31" t="n">
        <v>-4</v>
      </c>
      <c r="J33" s="24" t="n">
        <v>181</v>
      </c>
      <c r="K33" s="24" t="n">
        <v>5853</v>
      </c>
      <c r="L33" s="25" t="n">
        <v>0.5697932684093627</v>
      </c>
      <c r="M33" s="24" t="n">
        <v>3335</v>
      </c>
      <c r="N33" s="24" t="inlineStr"/>
      <c r="O33" s="24" t="n">
        <v>2545</v>
      </c>
      <c r="P33" s="24" t="n">
        <v>7</v>
      </c>
      <c r="Q33" s="24" t="n">
        <v>797</v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29" t="n">
        <v>1434</v>
      </c>
      <c r="E34" s="30" t="n">
        <v>0.7099023709902371</v>
      </c>
      <c r="F34" s="29" t="n">
        <v>1018</v>
      </c>
      <c r="G34" s="29" t="inlineStr"/>
      <c r="H34" s="29" t="n">
        <v>851</v>
      </c>
      <c r="I34" s="31" t="n">
        <v>-2</v>
      </c>
      <c r="J34" s="29" t="n">
        <v>165</v>
      </c>
      <c r="K34" s="29" t="n">
        <v>3148</v>
      </c>
      <c r="L34" s="30" t="n">
        <v>0.7042566709021602</v>
      </c>
      <c r="M34" s="29" t="n">
        <v>2217</v>
      </c>
      <c r="N34" s="29" t="inlineStr"/>
      <c r="O34" s="29" t="n">
        <v>1721</v>
      </c>
      <c r="P34" s="29" t="n">
        <v>7</v>
      </c>
      <c r="Q34" s="29" t="n">
        <v>503</v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29" t="n">
        <v>241</v>
      </c>
      <c r="E35" s="30" t="n">
        <v>0.6970954356846473</v>
      </c>
      <c r="F35" s="29" t="n">
        <v>168</v>
      </c>
      <c r="G35" s="29" t="inlineStr"/>
      <c r="H35" s="29" t="inlineStr"/>
      <c r="I35" s="29" t="inlineStr"/>
      <c r="J35" s="29" t="n">
        <v>168</v>
      </c>
      <c r="K35" s="29" t="n">
        <v>521</v>
      </c>
      <c r="L35" s="30" t="n">
        <v>0.6429942418426103</v>
      </c>
      <c r="M35" s="29" t="n">
        <v>335</v>
      </c>
      <c r="N35" s="29" t="inlineStr"/>
      <c r="O35" s="29" t="inlineStr"/>
      <c r="P35" s="29" t="inlineStr"/>
      <c r="Q35" s="29" t="n">
        <v>335</v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29" t="n">
        <v>799</v>
      </c>
      <c r="E36" s="30" t="n">
        <v>0.3404255319148936</v>
      </c>
      <c r="F36" s="29" t="n">
        <v>272</v>
      </c>
      <c r="G36" s="29" t="inlineStr"/>
      <c r="H36" s="29" t="n">
        <v>422</v>
      </c>
      <c r="I36" s="31" t="n">
        <v>-2</v>
      </c>
      <c r="J36" s="31" t="n">
        <v>-152</v>
      </c>
      <c r="K36" s="29" t="n">
        <v>2184</v>
      </c>
      <c r="L36" s="30" t="n">
        <v>0.3585164835164835</v>
      </c>
      <c r="M36" s="29" t="n">
        <v>783</v>
      </c>
      <c r="N36" s="29" t="inlineStr"/>
      <c r="O36" s="29" t="n">
        <v>824</v>
      </c>
      <c r="P36" s="29" t="inlineStr"/>
      <c r="Q36" s="31" t="n">
        <v>-41</v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 t="n">
        <v>1030</v>
      </c>
      <c r="E37" s="15" t="n">
        <v>0.2533980582524272</v>
      </c>
      <c r="F37" s="14" t="n">
        <v>261</v>
      </c>
      <c r="G37" s="14" t="n">
        <v>0</v>
      </c>
      <c r="H37" s="14" t="n">
        <v>201</v>
      </c>
      <c r="I37" s="14" t="n">
        <v>0</v>
      </c>
      <c r="J37" s="14" t="n">
        <v>60</v>
      </c>
      <c r="K37" s="14" t="n">
        <v>3457</v>
      </c>
      <c r="L37" s="15" t="n">
        <v>0.2074052646803587</v>
      </c>
      <c r="M37" s="14" t="n">
        <v>717</v>
      </c>
      <c r="N37" s="14" t="n">
        <v>0</v>
      </c>
      <c r="O37" s="14" t="n">
        <v>431</v>
      </c>
      <c r="P37" s="14" t="n">
        <v>0</v>
      </c>
      <c r="Q37" s="14" t="n">
        <v>286</v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29" t="n">
        <v>498</v>
      </c>
      <c r="E38" s="30" t="n">
        <v>0.1024096385542169</v>
      </c>
      <c r="F38" s="29" t="n">
        <v>51</v>
      </c>
      <c r="G38" s="29" t="inlineStr"/>
      <c r="H38" s="29" t="inlineStr"/>
      <c r="I38" s="29" t="inlineStr"/>
      <c r="J38" s="29" t="inlineStr"/>
      <c r="K38" s="29" t="inlineStr"/>
      <c r="L38" s="30" t="n">
        <v>0.11</v>
      </c>
      <c r="M38" s="29" t="n">
        <v>222</v>
      </c>
      <c r="N38" s="29" t="inlineStr"/>
      <c r="O38" s="29" t="inlineStr"/>
      <c r="P38" s="29" t="inlineStr"/>
      <c r="Q38" s="29" t="inlineStr"/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29" t="n">
        <v>193</v>
      </c>
      <c r="E39" s="30" t="n">
        <v>0.1606217616580311</v>
      </c>
      <c r="F39" s="29" t="n">
        <v>31</v>
      </c>
      <c r="G39" s="29" t="inlineStr"/>
      <c r="H39" s="29" t="inlineStr"/>
      <c r="I39" s="29" t="inlineStr"/>
      <c r="J39" s="29" t="inlineStr"/>
      <c r="K39" s="29" t="inlineStr"/>
      <c r="L39" s="30" t="n">
        <v>0.16</v>
      </c>
      <c r="M39" s="29" t="n">
        <v>80</v>
      </c>
      <c r="N39" s="29" t="inlineStr"/>
      <c r="O39" s="29" t="inlineStr"/>
      <c r="P39" s="29" t="inlineStr"/>
      <c r="Q39" s="29" t="inlineStr"/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29" t="n">
        <v>28</v>
      </c>
      <c r="E40" s="30" t="n">
        <v>0.07142857142857142</v>
      </c>
      <c r="F40" s="29" t="n">
        <v>2</v>
      </c>
      <c r="G40" s="29" t="inlineStr"/>
      <c r="H40" s="29" t="inlineStr"/>
      <c r="I40" s="29" t="inlineStr"/>
      <c r="J40" s="29" t="inlineStr"/>
      <c r="K40" s="29" t="inlineStr"/>
      <c r="L40" s="30" t="n">
        <v>0.08</v>
      </c>
      <c r="M40" s="29" t="n">
        <v>11</v>
      </c>
      <c r="N40" s="29" t="inlineStr"/>
      <c r="O40" s="29" t="inlineStr"/>
      <c r="P40" s="29" t="inlineStr"/>
      <c r="Q40" s="29" t="inlineStr"/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29" t="n">
        <v>134</v>
      </c>
      <c r="E41" s="30" t="n">
        <v>0.5</v>
      </c>
      <c r="F41" s="29" t="n">
        <v>67</v>
      </c>
      <c r="G41" s="29" t="inlineStr"/>
      <c r="H41" s="29" t="inlineStr"/>
      <c r="I41" s="29" t="inlineStr"/>
      <c r="J41" s="29" t="inlineStr"/>
      <c r="K41" s="29" t="inlineStr"/>
      <c r="L41" s="30" t="n">
        <v>0.49</v>
      </c>
      <c r="M41" s="29" t="n">
        <v>148</v>
      </c>
      <c r="N41" s="29" t="inlineStr"/>
      <c r="O41" s="29" t="inlineStr"/>
      <c r="P41" s="29" t="inlineStr"/>
      <c r="Q41" s="29" t="inlineStr"/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29" t="n">
        <v>75</v>
      </c>
      <c r="E42" s="30" t="n">
        <v>0.6533333333333333</v>
      </c>
      <c r="F42" s="29" t="n">
        <v>49</v>
      </c>
      <c r="G42" s="29" t="inlineStr"/>
      <c r="H42" s="29" t="inlineStr"/>
      <c r="I42" s="29" t="inlineStr"/>
      <c r="J42" s="29" t="inlineStr"/>
      <c r="K42" s="29" t="inlineStr"/>
      <c r="L42" s="30" t="n">
        <v>0.7</v>
      </c>
      <c r="M42" s="29" t="n">
        <v>112</v>
      </c>
      <c r="N42" s="29" t="inlineStr"/>
      <c r="O42" s="29" t="inlineStr"/>
      <c r="P42" s="29" t="inlineStr"/>
      <c r="Q42" s="29" t="inlineStr"/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29" t="n">
        <v>69</v>
      </c>
      <c r="E43" s="30" t="n">
        <v>0.6666666666666666</v>
      </c>
      <c r="F43" s="29" t="n">
        <v>46</v>
      </c>
      <c r="G43" s="29" t="inlineStr"/>
      <c r="H43" s="29" t="inlineStr"/>
      <c r="I43" s="29" t="inlineStr"/>
      <c r="J43" s="29" t="inlineStr"/>
      <c r="K43" s="29" t="inlineStr"/>
      <c r="L43" s="30" t="n">
        <v>0.67</v>
      </c>
      <c r="M43" s="29" t="n">
        <v>124</v>
      </c>
      <c r="N43" s="29" t="inlineStr"/>
      <c r="O43" s="29" t="inlineStr"/>
      <c r="P43" s="29" t="inlineStr"/>
      <c r="Q43" s="29" t="inlineStr"/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29" t="n">
        <v>34</v>
      </c>
      <c r="E44" s="30" t="n">
        <v>0.4411764705882353</v>
      </c>
      <c r="F44" s="29" t="n">
        <v>15</v>
      </c>
      <c r="G44" s="29" t="inlineStr"/>
      <c r="H44" s="29" t="inlineStr"/>
      <c r="I44" s="29" t="inlineStr"/>
      <c r="J44" s="29" t="inlineStr"/>
      <c r="K44" s="29" t="inlineStr"/>
      <c r="L44" s="30" t="n">
        <v>0.33</v>
      </c>
      <c r="M44" s="29" t="n">
        <v>19</v>
      </c>
      <c r="N44" s="29" t="inlineStr"/>
      <c r="O44" s="29" t="inlineStr"/>
      <c r="P44" s="29" t="inlineStr"/>
      <c r="Q44" s="29" t="inlineStr"/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 t="n">
        <v>15703</v>
      </c>
      <c r="E45" s="37" t="n">
        <v>0.2670190409475897</v>
      </c>
      <c r="F45" s="36" t="n">
        <v>4193</v>
      </c>
      <c r="G45" s="36" t="n">
        <v>79</v>
      </c>
      <c r="H45" s="36" t="n">
        <v>5937</v>
      </c>
      <c r="I45" s="36" t="n">
        <v>1053</v>
      </c>
      <c r="J45" s="39" t="n">
        <v>-1929</v>
      </c>
      <c r="K45" s="36" t="n">
        <v>55650</v>
      </c>
      <c r="L45" s="37" t="n">
        <v>0.2789577717879604</v>
      </c>
      <c r="M45" s="36" t="n">
        <v>15524</v>
      </c>
      <c r="N45" s="36" t="n">
        <v>1152</v>
      </c>
      <c r="O45" s="36" t="n">
        <v>16517</v>
      </c>
      <c r="P45" s="36" t="n">
        <v>2179</v>
      </c>
      <c r="Q45" s="36" t="n">
        <v>2337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03/2026 VÀ LŨY KẾ 3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03</t>
        </is>
      </c>
      <c r="K5" s="10" t="inlineStr">
        <is>
          <t>LŨY KẾ 3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 t="n">
        <v>15688</v>
      </c>
      <c r="E7" s="15" t="n">
        <v>0.1844722080571137</v>
      </c>
      <c r="F7" s="14" t="n">
        <v>2894</v>
      </c>
      <c r="G7" s="14" t="n">
        <v>317</v>
      </c>
      <c r="H7" s="14" t="n">
        <v>3253</v>
      </c>
      <c r="I7" s="14" t="n">
        <v>1118</v>
      </c>
      <c r="J7" s="14" t="n">
        <v>1</v>
      </c>
      <c r="K7" s="14" t="n">
        <v>51470</v>
      </c>
      <c r="L7" s="15" t="n">
        <v>0.2457742374198562</v>
      </c>
      <c r="M7" s="14" t="n">
        <v>12650</v>
      </c>
      <c r="N7" s="14" t="n">
        <v>1468</v>
      </c>
      <c r="O7" s="14" t="n">
        <v>16324</v>
      </c>
      <c r="P7" s="14" t="n">
        <v>3289</v>
      </c>
      <c r="Q7" s="14" t="n">
        <v>1084</v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 t="n">
        <v>8494</v>
      </c>
      <c r="E8" s="20" t="n">
        <v>0.2062632446432776</v>
      </c>
      <c r="F8" s="19" t="n">
        <v>1752</v>
      </c>
      <c r="G8" s="19" t="n">
        <v>0</v>
      </c>
      <c r="H8" s="19" t="n">
        <v>1372</v>
      </c>
      <c r="I8" s="19" t="n">
        <v>5</v>
      </c>
      <c r="J8" s="19" t="n">
        <v>386</v>
      </c>
      <c r="K8" s="19" t="n">
        <v>34551</v>
      </c>
      <c r="L8" s="20" t="n">
        <v>0.2623657781250904</v>
      </c>
      <c r="M8" s="19" t="n">
        <v>9065</v>
      </c>
      <c r="N8" s="19" t="n">
        <v>0</v>
      </c>
      <c r="O8" s="19" t="n">
        <v>7043</v>
      </c>
      <c r="P8" s="19" t="n">
        <v>6</v>
      </c>
      <c r="Q8" s="19" t="n">
        <v>2028</v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 t="n">
        <v>2649</v>
      </c>
      <c r="E9" s="25" t="n">
        <v>0.3914684786711967</v>
      </c>
      <c r="F9" s="24" t="n">
        <v>1037</v>
      </c>
      <c r="G9" s="24" t="inlineStr"/>
      <c r="H9" s="24" t="n">
        <v>802</v>
      </c>
      <c r="I9" s="31" t="n">
        <v>-1</v>
      </c>
      <c r="J9" s="24" t="n">
        <v>234</v>
      </c>
      <c r="K9" s="24" t="n">
        <v>6346</v>
      </c>
      <c r="L9" s="25" t="n">
        <v>0.3547116293728333</v>
      </c>
      <c r="M9" s="24" t="n">
        <v>2251</v>
      </c>
      <c r="N9" s="24" t="inlineStr"/>
      <c r="O9" s="24" t="n">
        <v>2326</v>
      </c>
      <c r="P9" s="24" t="inlineStr"/>
      <c r="Q9" s="31" t="n">
        <v>-75</v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29" t="inlineStr"/>
      <c r="E10" s="30" t="n">
        <v>0.38</v>
      </c>
      <c r="F10" s="29" t="inlineStr"/>
      <c r="G10" s="29" t="inlineStr"/>
      <c r="H10" s="29" t="inlineStr"/>
      <c r="I10" s="29" t="inlineStr"/>
      <c r="J10" s="29" t="inlineStr"/>
      <c r="K10" s="29" t="inlineStr"/>
      <c r="L10" s="30" t="n">
        <v>0.34</v>
      </c>
      <c r="M10" s="29" t="inlineStr"/>
      <c r="N10" s="29" t="inlineStr"/>
      <c r="O10" s="29" t="inlineStr"/>
      <c r="P10" s="29" t="inlineStr"/>
      <c r="Q10" s="29" t="inlineStr"/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29" t="inlineStr"/>
      <c r="E11" s="30" t="n">
        <v>0.49</v>
      </c>
      <c r="F11" s="29" t="inlineStr"/>
      <c r="G11" s="29" t="inlineStr"/>
      <c r="H11" s="29" t="inlineStr"/>
      <c r="I11" s="29" t="inlineStr"/>
      <c r="J11" s="29" t="inlineStr"/>
      <c r="K11" s="29" t="inlineStr"/>
      <c r="L11" s="30" t="n">
        <v>0.5</v>
      </c>
      <c r="M11" s="29" t="inlineStr"/>
      <c r="N11" s="29" t="inlineStr"/>
      <c r="O11" s="29" t="inlineStr"/>
      <c r="P11" s="29" t="inlineStr"/>
      <c r="Q11" s="29" t="inlineStr"/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29" t="inlineStr"/>
      <c r="E12" s="30" t="n">
        <v>0.28</v>
      </c>
      <c r="F12" s="29" t="inlineStr"/>
      <c r="G12" s="29" t="inlineStr"/>
      <c r="H12" s="29" t="inlineStr"/>
      <c r="I12" s="29" t="inlineStr"/>
      <c r="J12" s="29" t="inlineStr"/>
      <c r="K12" s="29" t="inlineStr"/>
      <c r="L12" s="30" t="n">
        <v>0.28</v>
      </c>
      <c r="M12" s="29" t="inlineStr"/>
      <c r="N12" s="29" t="inlineStr"/>
      <c r="O12" s="29" t="inlineStr"/>
      <c r="P12" s="29" t="inlineStr"/>
      <c r="Q12" s="29" t="inlineStr"/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29" t="inlineStr"/>
      <c r="E13" s="30" t="n">
        <v>0.61</v>
      </c>
      <c r="F13" s="29" t="inlineStr"/>
      <c r="G13" s="29" t="inlineStr"/>
      <c r="H13" s="29" t="inlineStr"/>
      <c r="I13" s="29" t="inlineStr"/>
      <c r="J13" s="29" t="inlineStr"/>
      <c r="K13" s="29" t="inlineStr"/>
      <c r="L13" s="30" t="n">
        <v>0.55</v>
      </c>
      <c r="M13" s="29" t="inlineStr"/>
      <c r="N13" s="29" t="inlineStr"/>
      <c r="O13" s="29" t="inlineStr"/>
      <c r="P13" s="29" t="inlineStr"/>
      <c r="Q13" s="29" t="inlineStr"/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29" t="inlineStr"/>
      <c r="E14" s="30" t="inlineStr"/>
      <c r="F14" s="29" t="inlineStr"/>
      <c r="G14" s="29" t="inlineStr"/>
      <c r="H14" s="29" t="inlineStr"/>
      <c r="I14" s="29" t="inlineStr"/>
      <c r="J14" s="29" t="inlineStr"/>
      <c r="K14" s="29" t="inlineStr"/>
      <c r="L14" s="30" t="n">
        <v>0.04</v>
      </c>
      <c r="M14" s="29" t="n">
        <v>12900</v>
      </c>
      <c r="N14" s="29" t="inlineStr"/>
      <c r="O14" s="29" t="inlineStr"/>
      <c r="P14" s="29" t="inlineStr"/>
      <c r="Q14" s="29" t="inlineStr"/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29" t="inlineStr"/>
      <c r="E15" s="30" t="n">
        <v>0.09</v>
      </c>
      <c r="F15" s="29" t="inlineStr"/>
      <c r="G15" s="29" t="inlineStr"/>
      <c r="H15" s="29" t="n">
        <v>173</v>
      </c>
      <c r="I15" s="29" t="n">
        <v>3</v>
      </c>
      <c r="J15" s="29" t="n">
        <v>23</v>
      </c>
      <c r="K15" s="29" t="inlineStr"/>
      <c r="L15" s="30" t="n">
        <v>0.08</v>
      </c>
      <c r="M15" s="29" t="inlineStr"/>
      <c r="N15" s="29" t="inlineStr"/>
      <c r="O15" s="29" t="n">
        <v>478</v>
      </c>
      <c r="P15" s="29" t="n">
        <v>3</v>
      </c>
      <c r="Q15" s="31" t="n">
        <v>-71</v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29" t="inlineStr"/>
      <c r="E16" s="30" t="n">
        <v>0.14</v>
      </c>
      <c r="F16" s="29" t="inlineStr"/>
      <c r="G16" s="29" t="inlineStr"/>
      <c r="H16" s="29" t="n">
        <v>335</v>
      </c>
      <c r="I16" s="29" t="n">
        <v>3</v>
      </c>
      <c r="J16" s="29" t="n">
        <v>190</v>
      </c>
      <c r="K16" s="29" t="inlineStr"/>
      <c r="L16" s="30" t="n">
        <v>0.1</v>
      </c>
      <c r="M16" s="29" t="inlineStr"/>
      <c r="N16" s="29" t="inlineStr"/>
      <c r="O16" s="29" t="n">
        <v>1155</v>
      </c>
      <c r="P16" s="29" t="n">
        <v>4</v>
      </c>
      <c r="Q16" s="31" t="n">
        <v>-67</v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29" t="inlineStr"/>
      <c r="E17" s="30" t="inlineStr"/>
      <c r="F17" s="29" t="inlineStr"/>
      <c r="G17" s="29" t="inlineStr"/>
      <c r="H17" s="29" t="n">
        <v>62</v>
      </c>
      <c r="I17" s="29" t="inlineStr"/>
      <c r="J17" s="31" t="n">
        <v>-62</v>
      </c>
      <c r="K17" s="29" t="inlineStr"/>
      <c r="L17" s="30" t="n">
        <v>0.42</v>
      </c>
      <c r="M17" s="29" t="inlineStr"/>
      <c r="N17" s="29" t="inlineStr"/>
      <c r="O17" s="29" t="n">
        <v>3084</v>
      </c>
      <c r="P17" s="29" t="inlineStr"/>
      <c r="Q17" s="29" t="n">
        <v>2241</v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 t="n">
        <v>6144</v>
      </c>
      <c r="E18" s="20" t="n">
        <v>0.1790364583333333</v>
      </c>
      <c r="F18" s="19" t="n">
        <v>1100</v>
      </c>
      <c r="G18" s="19" t="n">
        <v>2</v>
      </c>
      <c r="H18" s="19" t="n">
        <v>934</v>
      </c>
      <c r="I18" s="19" t="n">
        <v>0</v>
      </c>
      <c r="J18" s="19" t="n">
        <v>170</v>
      </c>
      <c r="K18" s="19" t="n">
        <v>14781</v>
      </c>
      <c r="L18" s="20" t="n">
        <v>0.2215682294837968</v>
      </c>
      <c r="M18" s="19" t="n">
        <v>3275</v>
      </c>
      <c r="N18" s="19" t="n">
        <v>36</v>
      </c>
      <c r="O18" s="19" t="n">
        <v>2944</v>
      </c>
      <c r="P18" s="19" t="n">
        <v>7</v>
      </c>
      <c r="Q18" s="19" t="n">
        <v>374</v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29" t="n">
        <v>1451</v>
      </c>
      <c r="E19" s="30" t="n">
        <v>0.5609924190213645</v>
      </c>
      <c r="F19" s="29" t="n">
        <v>814</v>
      </c>
      <c r="G19" s="29" t="inlineStr"/>
      <c r="H19" s="29" t="n">
        <v>605</v>
      </c>
      <c r="I19" s="29" t="n">
        <v>1</v>
      </c>
      <c r="J19" s="29" t="n">
        <v>210</v>
      </c>
      <c r="K19" s="29" t="n">
        <v>4362</v>
      </c>
      <c r="L19" s="30" t="n">
        <v>0.5641907381934892</v>
      </c>
      <c r="M19" s="29" t="n">
        <v>2461</v>
      </c>
      <c r="N19" s="29" t="inlineStr"/>
      <c r="O19" s="29" t="n">
        <v>1936</v>
      </c>
      <c r="P19" s="29" t="inlineStr"/>
      <c r="Q19" s="29" t="n">
        <v>531</v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29" t="inlineStr"/>
      <c r="E20" s="30" t="n">
        <v>0.06</v>
      </c>
      <c r="F20" s="29" t="n">
        <v>118</v>
      </c>
      <c r="G20" s="29" t="inlineStr"/>
      <c r="H20" s="29" t="n">
        <v>138</v>
      </c>
      <c r="I20" s="29" t="n">
        <v>1</v>
      </c>
      <c r="J20" s="31" t="n">
        <v>-19</v>
      </c>
      <c r="K20" s="29" t="n">
        <v>4708</v>
      </c>
      <c r="L20" s="30" t="n">
        <v>0.08241291418861513</v>
      </c>
      <c r="M20" s="29" t="n">
        <v>388</v>
      </c>
      <c r="N20" s="29" t="inlineStr"/>
      <c r="O20" s="29" t="n">
        <v>437</v>
      </c>
      <c r="P20" s="29" t="inlineStr"/>
      <c r="Q20" s="31" t="n">
        <v>-48</v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29" t="inlineStr"/>
      <c r="E21" s="30" t="n">
        <v>0.05</v>
      </c>
      <c r="F21" s="29" t="n">
        <v>139</v>
      </c>
      <c r="G21" s="29" t="inlineStr"/>
      <c r="H21" s="29" t="n">
        <v>160</v>
      </c>
      <c r="I21" s="29" t="inlineStr"/>
      <c r="J21" s="31" t="n">
        <v>-21</v>
      </c>
      <c r="K21" s="29" t="n">
        <v>5459</v>
      </c>
      <c r="L21" s="30" t="n">
        <v>0.06008426451731087</v>
      </c>
      <c r="M21" s="29" t="n">
        <v>328</v>
      </c>
      <c r="N21" s="29" t="inlineStr"/>
      <c r="O21" s="29" t="n">
        <v>476</v>
      </c>
      <c r="P21" s="29" t="inlineStr"/>
      <c r="Q21" s="31" t="n">
        <v>-148</v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29" t="inlineStr"/>
      <c r="E22" s="30" t="n">
        <v>0.34</v>
      </c>
      <c r="F22" s="29" t="n">
        <v>29</v>
      </c>
      <c r="G22" s="29" t="inlineStr"/>
      <c r="H22" s="29" t="n">
        <v>31</v>
      </c>
      <c r="I22" s="29" t="inlineStr"/>
      <c r="J22" s="31" t="n">
        <v>-2</v>
      </c>
      <c r="K22" s="29" t="n">
        <v>252</v>
      </c>
      <c r="L22" s="30" t="n">
        <v>0.3888888888888889</v>
      </c>
      <c r="M22" s="29" t="n">
        <v>98</v>
      </c>
      <c r="N22" s="29" t="inlineStr"/>
      <c r="O22" s="29" t="n">
        <v>96</v>
      </c>
      <c r="P22" s="29" t="inlineStr"/>
      <c r="Q22" s="29" t="n">
        <v>2</v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n">
        <v>179</v>
      </c>
      <c r="E23" s="20" t="n">
        <v>0.2402234636871508</v>
      </c>
      <c r="F23" s="19" t="n">
        <v>43</v>
      </c>
      <c r="G23" s="19" t="inlineStr"/>
      <c r="H23" s="19" t="n">
        <v>118</v>
      </c>
      <c r="I23" s="19" t="inlineStr"/>
      <c r="J23" s="32" t="n">
        <v>-75</v>
      </c>
      <c r="K23" s="19" t="n">
        <v>834</v>
      </c>
      <c r="L23" s="20" t="n">
        <v>0.2793764988009592</v>
      </c>
      <c r="M23" s="19" t="n">
        <v>233</v>
      </c>
      <c r="N23" s="19" t="inlineStr"/>
      <c r="O23" s="19" t="n">
        <v>358</v>
      </c>
      <c r="P23" s="19" t="inlineStr"/>
      <c r="Q23" s="32" t="n">
        <v>-125</v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 t="n">
        <v>872</v>
      </c>
      <c r="E24" s="20" t="n">
        <v>-0.001146788990825688</v>
      </c>
      <c r="F24" s="32" t="n">
        <v>-1</v>
      </c>
      <c r="G24" s="19" t="n">
        <v>315</v>
      </c>
      <c r="H24" s="19" t="n">
        <v>829</v>
      </c>
      <c r="I24" s="19" t="n">
        <v>1113</v>
      </c>
      <c r="J24" s="32" t="n">
        <v>-480</v>
      </c>
      <c r="K24" s="19" t="n">
        <v>1304</v>
      </c>
      <c r="L24" s="20" t="n">
        <v>0</v>
      </c>
      <c r="M24" s="19" t="n">
        <v>0</v>
      </c>
      <c r="N24" s="19" t="n">
        <v>0</v>
      </c>
      <c r="O24" s="19" t="n">
        <v>5979</v>
      </c>
      <c r="P24" s="19" t="n">
        <v>3276</v>
      </c>
      <c r="Q24" s="32" t="n">
        <v>-1193</v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29" t="n">
        <v>872</v>
      </c>
      <c r="E25" s="30" t="n">
        <v>-0.001146788990825688</v>
      </c>
      <c r="F25" s="31" t="n">
        <v>-1</v>
      </c>
      <c r="G25" s="29" t="n">
        <v>315</v>
      </c>
      <c r="H25" s="29" t="n">
        <v>658</v>
      </c>
      <c r="I25" s="29" t="n">
        <v>422</v>
      </c>
      <c r="J25" s="29" t="n">
        <v>78</v>
      </c>
      <c r="K25" s="29" t="n">
        <v>1304</v>
      </c>
      <c r="L25" s="30" t="n">
        <v>0.0598159509202454</v>
      </c>
      <c r="M25" s="29" t="n">
        <v>78</v>
      </c>
      <c r="N25" s="29" t="n">
        <v>1432</v>
      </c>
      <c r="O25" s="29" t="n">
        <v>2045</v>
      </c>
      <c r="P25" s="29" t="n">
        <v>1055</v>
      </c>
      <c r="Q25" s="29" t="n">
        <v>520</v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29" t="inlineStr"/>
      <c r="E26" s="30" t="inlineStr"/>
      <c r="F26" s="29" t="inlineStr"/>
      <c r="G26" s="29" t="inlineStr"/>
      <c r="H26" s="29" t="n">
        <v>1249</v>
      </c>
      <c r="I26" s="29" t="n">
        <v>691</v>
      </c>
      <c r="J26" s="31" t="n">
        <v>-558</v>
      </c>
      <c r="K26" s="29" t="inlineStr"/>
      <c r="L26" s="30" t="inlineStr"/>
      <c r="M26" s="29" t="inlineStr"/>
      <c r="N26" s="29" t="inlineStr"/>
      <c r="O26" s="29" t="n">
        <v>3934</v>
      </c>
      <c r="P26" s="29" t="n">
        <v>2221</v>
      </c>
      <c r="Q26" s="31" t="n">
        <v>-1713</v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 t="n">
        <v>11914</v>
      </c>
      <c r="E27" s="20" t="n">
        <v>0.211851603155951</v>
      </c>
      <c r="F27" s="19" t="n">
        <v>2524</v>
      </c>
      <c r="G27" s="19" t="n">
        <v>0</v>
      </c>
      <c r="H27" s="19" t="n">
        <v>2097</v>
      </c>
      <c r="I27" s="32" t="n">
        <v>-7</v>
      </c>
      <c r="J27" s="19" t="n">
        <v>420</v>
      </c>
      <c r="K27" s="19" t="n">
        <v>28324</v>
      </c>
      <c r="L27" s="20" t="n">
        <v>0.2674057336534388</v>
      </c>
      <c r="M27" s="19" t="n">
        <v>7574</v>
      </c>
      <c r="N27" s="19" t="n">
        <v>0</v>
      </c>
      <c r="O27" s="19" t="n">
        <v>6256</v>
      </c>
      <c r="P27" s="19" t="n">
        <v>2</v>
      </c>
      <c r="Q27" s="19" t="n">
        <v>1320</v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 t="n">
        <v>8926</v>
      </c>
      <c r="E28" s="25" t="n">
        <v>0.1155052655164687</v>
      </c>
      <c r="F28" s="24" t="n">
        <v>1031</v>
      </c>
      <c r="G28" s="24" t="inlineStr"/>
      <c r="H28" s="24" t="n">
        <v>760</v>
      </c>
      <c r="I28" s="31" t="n">
        <v>-6</v>
      </c>
      <c r="J28" s="24" t="n">
        <v>265</v>
      </c>
      <c r="K28" s="24" t="n">
        <v>19483</v>
      </c>
      <c r="L28" s="25" t="n">
        <v>0.1408407329466715</v>
      </c>
      <c r="M28" s="24" t="n">
        <v>2744</v>
      </c>
      <c r="N28" s="24" t="inlineStr"/>
      <c r="O28" s="24" t="n">
        <v>2374</v>
      </c>
      <c r="P28" s="31" t="n">
        <v>-4</v>
      </c>
      <c r="Q28" s="24" t="n">
        <v>366</v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29" t="n">
        <v>347</v>
      </c>
      <c r="E29" s="30" t="n">
        <v>0.3025936599423631</v>
      </c>
      <c r="F29" s="29" t="n">
        <v>105</v>
      </c>
      <c r="G29" s="29" t="inlineStr"/>
      <c r="H29" s="29" t="n">
        <v>71</v>
      </c>
      <c r="I29" s="29" t="n">
        <v>1</v>
      </c>
      <c r="J29" s="29" t="n">
        <v>35</v>
      </c>
      <c r="K29" s="29" t="n">
        <v>1339</v>
      </c>
      <c r="L29" s="30" t="n">
        <v>0.2867811799850635</v>
      </c>
      <c r="M29" s="29" t="n">
        <v>384</v>
      </c>
      <c r="N29" s="29" t="inlineStr"/>
      <c r="O29" s="29" t="n">
        <v>315</v>
      </c>
      <c r="P29" s="29" t="n">
        <v>1</v>
      </c>
      <c r="Q29" s="29" t="n">
        <v>70</v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29" t="n">
        <v>4169</v>
      </c>
      <c r="E30" s="30" t="n">
        <v>0.1091388822259535</v>
      </c>
      <c r="F30" s="29" t="n">
        <v>455</v>
      </c>
      <c r="G30" s="29" t="inlineStr"/>
      <c r="H30" s="29" t="n">
        <v>434</v>
      </c>
      <c r="I30" s="31" t="n">
        <v>-4</v>
      </c>
      <c r="J30" s="29" t="n">
        <v>17</v>
      </c>
      <c r="K30" s="29" t="n">
        <v>9581</v>
      </c>
      <c r="L30" s="30" t="n">
        <v>0.1293184427512786</v>
      </c>
      <c r="M30" s="29" t="n">
        <v>1239</v>
      </c>
      <c r="N30" s="29" t="inlineStr"/>
      <c r="O30" s="29" t="n">
        <v>1334</v>
      </c>
      <c r="P30" s="31" t="n">
        <v>-3</v>
      </c>
      <c r="Q30" s="31" t="n">
        <v>-98</v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29" t="n">
        <v>3997</v>
      </c>
      <c r="E31" s="30" t="n">
        <v>0.0412809607205404</v>
      </c>
      <c r="F31" s="29" t="n">
        <v>165</v>
      </c>
      <c r="G31" s="29" t="inlineStr"/>
      <c r="H31" s="29" t="n">
        <v>109</v>
      </c>
      <c r="I31" s="31" t="n">
        <v>-3</v>
      </c>
      <c r="J31" s="29" t="n">
        <v>53</v>
      </c>
      <c r="K31" s="29" t="n">
        <v>7424</v>
      </c>
      <c r="L31" s="30" t="n">
        <v>0.04202586206896552</v>
      </c>
      <c r="M31" s="29" t="n">
        <v>312</v>
      </c>
      <c r="N31" s="29" t="inlineStr"/>
      <c r="O31" s="29" t="n">
        <v>271</v>
      </c>
      <c r="P31" s="31" t="n">
        <v>-2</v>
      </c>
      <c r="Q31" s="29" t="n">
        <v>39</v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29" t="n">
        <v>413</v>
      </c>
      <c r="E32" s="30" t="n">
        <v>0.7409200968523002</v>
      </c>
      <c r="F32" s="29" t="n">
        <v>306</v>
      </c>
      <c r="G32" s="29" t="inlineStr"/>
      <c r="H32" s="29" t="n">
        <v>146</v>
      </c>
      <c r="I32" s="29" t="inlineStr"/>
      <c r="J32" s="29" t="n">
        <v>160</v>
      </c>
      <c r="K32" s="29" t="n">
        <v>1139</v>
      </c>
      <c r="L32" s="30" t="n">
        <v>0.7111501316944688</v>
      </c>
      <c r="M32" s="29" t="n">
        <v>810</v>
      </c>
      <c r="N32" s="29" t="inlineStr"/>
      <c r="O32" s="29" t="n">
        <v>454</v>
      </c>
      <c r="P32" s="29" t="inlineStr"/>
      <c r="Q32" s="29" t="n">
        <v>356</v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 t="n">
        <v>2988</v>
      </c>
      <c r="E33" s="25" t="n">
        <v>0.5</v>
      </c>
      <c r="F33" s="24" t="n">
        <v>1494</v>
      </c>
      <c r="G33" s="24" t="inlineStr"/>
      <c r="H33" s="24" t="n">
        <v>1337</v>
      </c>
      <c r="I33" s="31" t="n">
        <v>-2</v>
      </c>
      <c r="J33" s="24" t="n">
        <v>155</v>
      </c>
      <c r="K33" s="24" t="n">
        <v>8841</v>
      </c>
      <c r="L33" s="25" t="n">
        <v>0.546205180409456</v>
      </c>
      <c r="M33" s="24" t="n">
        <v>4829</v>
      </c>
      <c r="N33" s="24" t="inlineStr"/>
      <c r="O33" s="24" t="n">
        <v>3882</v>
      </c>
      <c r="P33" s="24" t="n">
        <v>4</v>
      </c>
      <c r="Q33" s="24" t="n">
        <v>951</v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29" t="n">
        <v>1392</v>
      </c>
      <c r="E34" s="30" t="n">
        <v>0.6091954022988506</v>
      </c>
      <c r="F34" s="29" t="n">
        <v>848</v>
      </c>
      <c r="G34" s="29" t="inlineStr"/>
      <c r="H34" s="29" t="n">
        <v>820</v>
      </c>
      <c r="I34" s="31" t="n">
        <v>-1</v>
      </c>
      <c r="J34" s="29" t="n">
        <v>27</v>
      </c>
      <c r="K34" s="29" t="n">
        <v>4540</v>
      </c>
      <c r="L34" s="30" t="n">
        <v>0.6751101321585903</v>
      </c>
      <c r="M34" s="29" t="n">
        <v>3065</v>
      </c>
      <c r="N34" s="29" t="inlineStr"/>
      <c r="O34" s="29" t="n">
        <v>2541</v>
      </c>
      <c r="P34" s="29" t="n">
        <v>5</v>
      </c>
      <c r="Q34" s="29" t="n">
        <v>529</v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29" t="n">
        <v>268</v>
      </c>
      <c r="E35" s="30" t="n">
        <v>0.5447761194029851</v>
      </c>
      <c r="F35" s="29" t="n">
        <v>146</v>
      </c>
      <c r="G35" s="29" t="inlineStr"/>
      <c r="H35" s="29" t="inlineStr"/>
      <c r="I35" s="29" t="inlineStr"/>
      <c r="J35" s="29" t="n">
        <v>146</v>
      </c>
      <c r="K35" s="29" t="n">
        <v>789</v>
      </c>
      <c r="L35" s="30" t="n">
        <v>0.6096324461343473</v>
      </c>
      <c r="M35" s="29" t="n">
        <v>481</v>
      </c>
      <c r="N35" s="29" t="inlineStr"/>
      <c r="O35" s="29" t="inlineStr"/>
      <c r="P35" s="29" t="inlineStr"/>
      <c r="Q35" s="29" t="n">
        <v>481</v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29" t="n">
        <v>1327</v>
      </c>
      <c r="E36" s="30" t="n">
        <v>0.3767897513187641</v>
      </c>
      <c r="F36" s="29" t="n">
        <v>500</v>
      </c>
      <c r="G36" s="29" t="inlineStr"/>
      <c r="H36" s="29" t="n">
        <v>517</v>
      </c>
      <c r="I36" s="31" t="n">
        <v>-1</v>
      </c>
      <c r="J36" s="31" t="n">
        <v>-18</v>
      </c>
      <c r="K36" s="29" t="n">
        <v>3511</v>
      </c>
      <c r="L36" s="30" t="n">
        <v>0.3654229564226716</v>
      </c>
      <c r="M36" s="29" t="n">
        <v>1283</v>
      </c>
      <c r="N36" s="29" t="inlineStr"/>
      <c r="O36" s="29" t="n">
        <v>1341</v>
      </c>
      <c r="P36" s="31" t="n">
        <v>-1</v>
      </c>
      <c r="Q36" s="31" t="n">
        <v>-59</v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 t="n">
        <v>1981</v>
      </c>
      <c r="E37" s="15" t="n">
        <v>0.1797072185764765</v>
      </c>
      <c r="F37" s="14" t="n">
        <v>356</v>
      </c>
      <c r="G37" s="14" t="n">
        <v>0</v>
      </c>
      <c r="H37" s="14" t="n">
        <v>202</v>
      </c>
      <c r="I37" s="14" t="n">
        <v>0</v>
      </c>
      <c r="J37" s="14" t="n">
        <v>154</v>
      </c>
      <c r="K37" s="14" t="n">
        <v>5438</v>
      </c>
      <c r="L37" s="15" t="n">
        <v>0.1973151894078705</v>
      </c>
      <c r="M37" s="14" t="n">
        <v>1073</v>
      </c>
      <c r="N37" s="14" t="n">
        <v>0</v>
      </c>
      <c r="O37" s="14" t="n">
        <v>633</v>
      </c>
      <c r="P37" s="14" t="n">
        <v>0</v>
      </c>
      <c r="Q37" s="14" t="n">
        <v>440</v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29" t="n">
        <v>1107</v>
      </c>
      <c r="E38" s="30" t="n">
        <v>0.06775067750677506</v>
      </c>
      <c r="F38" s="29" t="n">
        <v>75</v>
      </c>
      <c r="G38" s="29" t="inlineStr"/>
      <c r="H38" s="29" t="inlineStr"/>
      <c r="I38" s="29" t="inlineStr"/>
      <c r="J38" s="29" t="inlineStr"/>
      <c r="K38" s="29" t="n">
        <v>3225</v>
      </c>
      <c r="L38" s="30" t="n">
        <v>0.0924031007751938</v>
      </c>
      <c r="M38" s="29" t="n">
        <v>298</v>
      </c>
      <c r="N38" s="29" t="inlineStr"/>
      <c r="O38" s="29" t="inlineStr"/>
      <c r="P38" s="29" t="inlineStr"/>
      <c r="Q38" s="29" t="inlineStr"/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29" t="n">
        <v>329</v>
      </c>
      <c r="E39" s="30" t="n">
        <v>0.1854103343465046</v>
      </c>
      <c r="F39" s="29" t="n">
        <v>61</v>
      </c>
      <c r="G39" s="29" t="inlineStr"/>
      <c r="H39" s="29" t="inlineStr"/>
      <c r="I39" s="29" t="inlineStr"/>
      <c r="J39" s="29" t="inlineStr"/>
      <c r="K39" s="29" t="n">
        <v>828</v>
      </c>
      <c r="L39" s="30" t="n">
        <v>0.1702898550724638</v>
      </c>
      <c r="M39" s="29" t="n">
        <v>141</v>
      </c>
      <c r="N39" s="29" t="inlineStr"/>
      <c r="O39" s="29" t="inlineStr"/>
      <c r="P39" s="29" t="inlineStr"/>
      <c r="Q39" s="29" t="inlineStr"/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29" t="n">
        <v>116</v>
      </c>
      <c r="E40" s="30" t="n">
        <v>0.06896551724137931</v>
      </c>
      <c r="F40" s="29" t="n">
        <v>8</v>
      </c>
      <c r="G40" s="29" t="inlineStr"/>
      <c r="H40" s="29" t="inlineStr"/>
      <c r="I40" s="29" t="inlineStr"/>
      <c r="J40" s="29" t="inlineStr"/>
      <c r="K40" s="29" t="n">
        <v>251</v>
      </c>
      <c r="L40" s="30" t="n">
        <v>0.07569721115537849</v>
      </c>
      <c r="M40" s="29" t="n">
        <v>19</v>
      </c>
      <c r="N40" s="29" t="inlineStr"/>
      <c r="O40" s="29" t="inlineStr"/>
      <c r="P40" s="29" t="inlineStr"/>
      <c r="Q40" s="29" t="inlineStr"/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29" t="n">
        <v>203</v>
      </c>
      <c r="E41" s="30" t="n">
        <v>0.4729064039408867</v>
      </c>
      <c r="F41" s="29" t="n">
        <v>96</v>
      </c>
      <c r="G41" s="29" t="inlineStr"/>
      <c r="H41" s="29" t="inlineStr"/>
      <c r="I41" s="29" t="inlineStr"/>
      <c r="J41" s="29" t="inlineStr"/>
      <c r="K41" s="29" t="n">
        <v>503</v>
      </c>
      <c r="L41" s="30" t="n">
        <v>0.4870775347912525</v>
      </c>
      <c r="M41" s="29" t="n">
        <v>245</v>
      </c>
      <c r="N41" s="29" t="inlineStr"/>
      <c r="O41" s="29" t="inlineStr"/>
      <c r="P41" s="29" t="inlineStr"/>
      <c r="Q41" s="29" t="inlineStr"/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29" t="n">
        <v>106</v>
      </c>
      <c r="E42" s="30" t="n">
        <v>0.7830188679245284</v>
      </c>
      <c r="F42" s="29" t="n">
        <v>83</v>
      </c>
      <c r="G42" s="29" t="inlineStr"/>
      <c r="H42" s="29" t="inlineStr"/>
      <c r="I42" s="29" t="inlineStr"/>
      <c r="J42" s="29" t="inlineStr"/>
      <c r="K42" s="29" t="n">
        <v>267</v>
      </c>
      <c r="L42" s="30" t="n">
        <v>0.7303370786516854</v>
      </c>
      <c r="M42" s="29" t="n">
        <v>195</v>
      </c>
      <c r="N42" s="29" t="inlineStr"/>
      <c r="O42" s="29" t="inlineStr"/>
      <c r="P42" s="29" t="inlineStr"/>
      <c r="Q42" s="29" t="inlineStr"/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29" t="n">
        <v>46</v>
      </c>
      <c r="E43" s="30" t="n">
        <v>0.6521739130434783</v>
      </c>
      <c r="F43" s="29" t="n">
        <v>30</v>
      </c>
      <c r="G43" s="29" t="inlineStr"/>
      <c r="H43" s="29" t="inlineStr"/>
      <c r="I43" s="29" t="inlineStr"/>
      <c r="J43" s="29" t="inlineStr"/>
      <c r="K43" s="29" t="n">
        <v>232</v>
      </c>
      <c r="L43" s="30" t="n">
        <v>0.6637931034482759</v>
      </c>
      <c r="M43" s="29" t="n">
        <v>154</v>
      </c>
      <c r="N43" s="29" t="inlineStr"/>
      <c r="O43" s="29" t="inlineStr"/>
      <c r="P43" s="29" t="inlineStr"/>
      <c r="Q43" s="29" t="inlineStr"/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29" t="n">
        <v>73</v>
      </c>
      <c r="E44" s="30" t="n">
        <v>0.0410958904109589</v>
      </c>
      <c r="F44" s="29" t="n">
        <v>3</v>
      </c>
      <c r="G44" s="29" t="inlineStr"/>
      <c r="H44" s="29" t="inlineStr"/>
      <c r="I44" s="29" t="inlineStr"/>
      <c r="J44" s="29" t="inlineStr"/>
      <c r="K44" s="29" t="n">
        <v>132</v>
      </c>
      <c r="L44" s="30" t="n">
        <v>0.1666666666666667</v>
      </c>
      <c r="M44" s="29" t="n">
        <v>22</v>
      </c>
      <c r="N44" s="29" t="inlineStr"/>
      <c r="O44" s="29" t="inlineStr"/>
      <c r="P44" s="29" t="inlineStr"/>
      <c r="Q44" s="29" t="inlineStr"/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 t="n">
        <v>29583</v>
      </c>
      <c r="E45" s="37" t="n">
        <v>0.1952134671939965</v>
      </c>
      <c r="F45" s="36" t="n">
        <v>5775</v>
      </c>
      <c r="G45" s="36" t="n">
        <v>317</v>
      </c>
      <c r="H45" s="36" t="n">
        <v>5552</v>
      </c>
      <c r="I45" s="36" t="n">
        <v>1111</v>
      </c>
      <c r="J45" s="36" t="n">
        <v>575</v>
      </c>
      <c r="K45" s="36" t="n">
        <v>85232</v>
      </c>
      <c r="L45" s="37" t="n">
        <v>0.2498709404918341</v>
      </c>
      <c r="M45" s="36" t="n">
        <v>21297</v>
      </c>
      <c r="N45" s="36" t="n">
        <v>1468</v>
      </c>
      <c r="O45" s="36" t="n">
        <v>23213</v>
      </c>
      <c r="P45" s="36" t="n">
        <v>3291</v>
      </c>
      <c r="Q45" s="36" t="n">
        <v>2844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04/2026 VÀ LŨY KẾ 4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04</t>
        </is>
      </c>
      <c r="K5" s="10" t="inlineStr">
        <is>
          <t>LŨY KẾ 4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 t="n">
        <v>14820</v>
      </c>
      <c r="E7" s="15" t="n">
        <v>0.1975033738191633</v>
      </c>
      <c r="F7" s="14" t="n">
        <v>2927</v>
      </c>
      <c r="G7" s="14" t="n">
        <v>2</v>
      </c>
      <c r="H7" s="14" t="n">
        <v>3293</v>
      </c>
      <c r="I7" s="14" t="n">
        <v>1114</v>
      </c>
      <c r="J7" s="38" t="n">
        <v>-611</v>
      </c>
      <c r="K7" s="14" t="n">
        <v>66289</v>
      </c>
      <c r="L7" s="15" t="n">
        <v>0.2349861968048998</v>
      </c>
      <c r="M7" s="14" t="n">
        <v>15577</v>
      </c>
      <c r="N7" s="14" t="n">
        <v>1470</v>
      </c>
      <c r="O7" s="14" t="n">
        <v>20981</v>
      </c>
      <c r="P7" s="14" t="n">
        <v>4629</v>
      </c>
      <c r="Q7" s="14" t="n">
        <v>695</v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 t="n">
        <v>8436</v>
      </c>
      <c r="E8" s="20" t="n">
        <v>0.1734234234234234</v>
      </c>
      <c r="F8" s="19" t="n">
        <v>1463</v>
      </c>
      <c r="G8" s="19" t="n">
        <v>0</v>
      </c>
      <c r="H8" s="19" t="n">
        <v>1390</v>
      </c>
      <c r="I8" s="19" t="n">
        <v>1</v>
      </c>
      <c r="J8" s="19" t="n">
        <v>74</v>
      </c>
      <c r="K8" s="19" t="n">
        <v>42987</v>
      </c>
      <c r="L8" s="20" t="n">
        <v>0.244911252239049</v>
      </c>
      <c r="M8" s="19" t="n">
        <v>10528</v>
      </c>
      <c r="N8" s="19" t="n">
        <v>0</v>
      </c>
      <c r="O8" s="19" t="n">
        <v>8433</v>
      </c>
      <c r="P8" s="19" t="n">
        <v>7</v>
      </c>
      <c r="Q8" s="19" t="n">
        <v>2102</v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 t="n">
        <v>2455</v>
      </c>
      <c r="E9" s="25" t="n">
        <v>0.3735234215885947</v>
      </c>
      <c r="F9" s="24" t="n">
        <v>917</v>
      </c>
      <c r="G9" s="24" t="inlineStr"/>
      <c r="H9" s="24" t="n">
        <v>819</v>
      </c>
      <c r="I9" s="24" t="n">
        <v>1</v>
      </c>
      <c r="J9" s="24" t="n">
        <v>99</v>
      </c>
      <c r="K9" s="24" t="n">
        <v>8801</v>
      </c>
      <c r="L9" s="25" t="n">
        <v>0.359959095557323</v>
      </c>
      <c r="M9" s="24" t="n">
        <v>3168</v>
      </c>
      <c r="N9" s="24" t="inlineStr"/>
      <c r="O9" s="24" t="n">
        <v>3145</v>
      </c>
      <c r="P9" s="24" t="inlineStr"/>
      <c r="Q9" s="24" t="n">
        <v>23</v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29" t="inlineStr"/>
      <c r="E10" s="30" t="n">
        <v>0.36</v>
      </c>
      <c r="F10" s="29" t="inlineStr"/>
      <c r="G10" s="29" t="inlineStr"/>
      <c r="H10" s="29" t="inlineStr"/>
      <c r="I10" s="29" t="inlineStr"/>
      <c r="J10" s="29" t="inlineStr"/>
      <c r="K10" s="29" t="inlineStr"/>
      <c r="L10" s="30" t="n">
        <v>0.35</v>
      </c>
      <c r="M10" s="29" t="inlineStr"/>
      <c r="N10" s="29" t="inlineStr"/>
      <c r="O10" s="29" t="inlineStr"/>
      <c r="P10" s="29" t="inlineStr"/>
      <c r="Q10" s="29" t="inlineStr"/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29" t="inlineStr"/>
      <c r="E11" s="30" t="n">
        <v>0.5</v>
      </c>
      <c r="F11" s="29" t="inlineStr"/>
      <c r="G11" s="29" t="inlineStr"/>
      <c r="H11" s="29" t="inlineStr"/>
      <c r="I11" s="29" t="inlineStr"/>
      <c r="J11" s="29" t="inlineStr"/>
      <c r="K11" s="29" t="inlineStr"/>
      <c r="L11" s="30" t="n">
        <v>0.5</v>
      </c>
      <c r="M11" s="29" t="inlineStr"/>
      <c r="N11" s="29" t="inlineStr"/>
      <c r="O11" s="29" t="inlineStr"/>
      <c r="P11" s="29" t="inlineStr"/>
      <c r="Q11" s="29" t="inlineStr"/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29" t="inlineStr"/>
      <c r="E12" s="30" t="n">
        <v>0.34</v>
      </c>
      <c r="F12" s="29" t="inlineStr"/>
      <c r="G12" s="29" t="inlineStr"/>
      <c r="H12" s="29" t="inlineStr"/>
      <c r="I12" s="29" t="inlineStr"/>
      <c r="J12" s="29" t="inlineStr"/>
      <c r="K12" s="29" t="inlineStr"/>
      <c r="L12" s="30" t="n">
        <v>0.29</v>
      </c>
      <c r="M12" s="29" t="inlineStr"/>
      <c r="N12" s="29" t="inlineStr"/>
      <c r="O12" s="29" t="inlineStr"/>
      <c r="P12" s="29" t="inlineStr"/>
      <c r="Q12" s="29" t="inlineStr"/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29" t="inlineStr"/>
      <c r="E13" s="30" t="n">
        <v>0.4</v>
      </c>
      <c r="F13" s="29" t="inlineStr"/>
      <c r="G13" s="29" t="inlineStr"/>
      <c r="H13" s="29" t="inlineStr"/>
      <c r="I13" s="29" t="inlineStr"/>
      <c r="J13" s="29" t="inlineStr"/>
      <c r="K13" s="29" t="inlineStr"/>
      <c r="L13" s="30" t="n">
        <v>0.51</v>
      </c>
      <c r="M13" s="29" t="inlineStr"/>
      <c r="N13" s="29" t="inlineStr"/>
      <c r="O13" s="29" t="inlineStr"/>
      <c r="P13" s="29" t="inlineStr"/>
      <c r="Q13" s="29" t="inlineStr"/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29" t="inlineStr"/>
      <c r="E14" s="30" t="inlineStr"/>
      <c r="F14" s="29" t="inlineStr"/>
      <c r="G14" s="29" t="inlineStr"/>
      <c r="H14" s="29" t="inlineStr"/>
      <c r="I14" s="29" t="inlineStr"/>
      <c r="J14" s="29" t="inlineStr"/>
      <c r="K14" s="29" t="inlineStr"/>
      <c r="L14" s="30" t="n">
        <v>0.03</v>
      </c>
      <c r="M14" s="29" t="inlineStr"/>
      <c r="N14" s="29" t="inlineStr"/>
      <c r="O14" s="29" t="inlineStr"/>
      <c r="P14" s="29" t="inlineStr"/>
      <c r="Q14" s="29" t="inlineStr"/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29" t="inlineStr"/>
      <c r="E15" s="30" t="n">
        <v>0.07000000000000001</v>
      </c>
      <c r="F15" s="29" t="inlineStr"/>
      <c r="G15" s="29" t="inlineStr"/>
      <c r="H15" s="29" t="n">
        <v>172</v>
      </c>
      <c r="I15" s="29" t="inlineStr"/>
      <c r="J15" s="29" t="n">
        <v>2</v>
      </c>
      <c r="K15" s="29" t="inlineStr"/>
      <c r="L15" s="30" t="n">
        <v>0.08</v>
      </c>
      <c r="M15" s="29" t="inlineStr"/>
      <c r="N15" s="29" t="inlineStr"/>
      <c r="O15" s="29" t="n">
        <v>650</v>
      </c>
      <c r="P15" s="29" t="n">
        <v>3</v>
      </c>
      <c r="Q15" s="31" t="n">
        <v>-69</v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29" t="inlineStr"/>
      <c r="E16" s="30" t="n">
        <v>0.11</v>
      </c>
      <c r="F16" s="29" t="inlineStr"/>
      <c r="G16" s="29" t="inlineStr"/>
      <c r="H16" s="29" t="n">
        <v>338</v>
      </c>
      <c r="I16" s="29" t="inlineStr"/>
      <c r="J16" s="29" t="n">
        <v>35</v>
      </c>
      <c r="K16" s="29" t="inlineStr"/>
      <c r="L16" s="30" t="n">
        <v>0.11</v>
      </c>
      <c r="M16" s="29" t="inlineStr"/>
      <c r="N16" s="29" t="inlineStr"/>
      <c r="O16" s="29" t="n">
        <v>1492</v>
      </c>
      <c r="P16" s="29" t="n">
        <v>3</v>
      </c>
      <c r="Q16" s="31" t="n">
        <v>-32</v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29" t="inlineStr"/>
      <c r="E17" s="30" t="inlineStr"/>
      <c r="F17" s="29" t="inlineStr"/>
      <c r="G17" s="29" t="inlineStr"/>
      <c r="H17" s="29" t="n">
        <v>62</v>
      </c>
      <c r="I17" s="29" t="inlineStr"/>
      <c r="J17" s="31" t="n">
        <v>-62</v>
      </c>
      <c r="K17" s="29" t="inlineStr"/>
      <c r="L17" s="30" t="n">
        <v>0.42</v>
      </c>
      <c r="M17" s="29" t="inlineStr"/>
      <c r="N17" s="29" t="inlineStr"/>
      <c r="O17" s="29" t="n">
        <v>3147</v>
      </c>
      <c r="P17" s="29" t="inlineStr"/>
      <c r="Q17" s="29" t="n">
        <v>2179</v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 t="n">
        <v>5816</v>
      </c>
      <c r="E18" s="20" t="n">
        <v>0.2329779917469051</v>
      </c>
      <c r="F18" s="19" t="n">
        <v>1355</v>
      </c>
      <c r="G18" s="19" t="n">
        <v>2</v>
      </c>
      <c r="H18" s="19" t="n">
        <v>960</v>
      </c>
      <c r="I18" s="19" t="n">
        <v>0</v>
      </c>
      <c r="J18" s="19" t="n">
        <v>401</v>
      </c>
      <c r="K18" s="19" t="n">
        <v>20597</v>
      </c>
      <c r="L18" s="20" t="n">
        <v>0.2247414672039617</v>
      </c>
      <c r="M18" s="19" t="n">
        <v>4629</v>
      </c>
      <c r="N18" s="19" t="n">
        <v>38</v>
      </c>
      <c r="O18" s="19" t="n">
        <v>3905</v>
      </c>
      <c r="P18" s="19" t="n">
        <v>13</v>
      </c>
      <c r="Q18" s="19" t="n">
        <v>776</v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29" t="n">
        <v>1770</v>
      </c>
      <c r="E19" s="30" t="n">
        <v>0.5728813559322034</v>
      </c>
      <c r="F19" s="29" t="n">
        <v>1014</v>
      </c>
      <c r="G19" s="29" t="inlineStr"/>
      <c r="H19" s="29" t="n">
        <v>629</v>
      </c>
      <c r="I19" s="29" t="n">
        <v>4</v>
      </c>
      <c r="J19" s="29" t="n">
        <v>388</v>
      </c>
      <c r="K19" s="29" t="n">
        <v>6132</v>
      </c>
      <c r="L19" s="30" t="n">
        <v>0.5666992824527071</v>
      </c>
      <c r="M19" s="29" t="n">
        <v>3475</v>
      </c>
      <c r="N19" s="29" t="inlineStr"/>
      <c r="O19" s="29" t="n">
        <v>2565</v>
      </c>
      <c r="P19" s="29" t="inlineStr"/>
      <c r="Q19" s="29" t="n">
        <v>920</v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29" t="inlineStr"/>
      <c r="E20" s="30" t="n">
        <v>0.09</v>
      </c>
      <c r="F20" s="29" t="n">
        <v>117</v>
      </c>
      <c r="G20" s="29" t="inlineStr"/>
      <c r="H20" s="29" t="n">
        <v>141</v>
      </c>
      <c r="I20" s="29" t="inlineStr"/>
      <c r="J20" s="31" t="n">
        <v>-24</v>
      </c>
      <c r="K20" s="29" t="n">
        <v>6045</v>
      </c>
      <c r="L20" s="30" t="n">
        <v>0.08354011579818031</v>
      </c>
      <c r="M20" s="29" t="n">
        <v>505</v>
      </c>
      <c r="N20" s="29" t="inlineStr"/>
      <c r="O20" s="29" t="n">
        <v>577</v>
      </c>
      <c r="P20" s="29" t="inlineStr"/>
      <c r="Q20" s="31" t="n">
        <v>-71</v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29" t="inlineStr"/>
      <c r="E21" s="30" t="n">
        <v>0.06</v>
      </c>
      <c r="F21" s="29" t="n">
        <v>159</v>
      </c>
      <c r="G21" s="29" t="inlineStr"/>
      <c r="H21" s="29" t="n">
        <v>158</v>
      </c>
      <c r="I21" s="29" t="inlineStr"/>
      <c r="J21" s="29" t="n">
        <v>1</v>
      </c>
      <c r="K21" s="29" t="n">
        <v>8052</v>
      </c>
      <c r="L21" s="30" t="n">
        <v>0.06048186785891704</v>
      </c>
      <c r="M21" s="29" t="n">
        <v>487</v>
      </c>
      <c r="N21" s="29" t="inlineStr"/>
      <c r="O21" s="29" t="n">
        <v>634</v>
      </c>
      <c r="P21" s="29" t="inlineStr"/>
      <c r="Q21" s="31" t="n">
        <v>-147</v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29" t="inlineStr"/>
      <c r="E22" s="30" t="n">
        <v>0.5600000000000001</v>
      </c>
      <c r="F22" s="29" t="n">
        <v>65</v>
      </c>
      <c r="G22" s="29" t="inlineStr"/>
      <c r="H22" s="29" t="n">
        <v>32</v>
      </c>
      <c r="I22" s="29" t="inlineStr"/>
      <c r="J22" s="29" t="n">
        <v>33</v>
      </c>
      <c r="K22" s="29" t="n">
        <v>369</v>
      </c>
      <c r="L22" s="30" t="n">
        <v>0.4417344173441735</v>
      </c>
      <c r="M22" s="29" t="n">
        <v>163</v>
      </c>
      <c r="N22" s="29" t="inlineStr"/>
      <c r="O22" s="29" t="n">
        <v>128</v>
      </c>
      <c r="P22" s="29" t="inlineStr"/>
      <c r="Q22" s="29" t="n">
        <v>35</v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n">
        <v>257</v>
      </c>
      <c r="E23" s="20" t="n">
        <v>0.3346303501945525</v>
      </c>
      <c r="F23" s="19" t="n">
        <v>86</v>
      </c>
      <c r="G23" s="19" t="inlineStr"/>
      <c r="H23" s="19" t="n">
        <v>114</v>
      </c>
      <c r="I23" s="19" t="inlineStr"/>
      <c r="J23" s="32" t="n">
        <v>-28</v>
      </c>
      <c r="K23" s="19" t="n">
        <v>1090</v>
      </c>
      <c r="L23" s="20" t="n">
        <v>0.2926605504587156</v>
      </c>
      <c r="M23" s="19" t="n">
        <v>319</v>
      </c>
      <c r="N23" s="19" t="inlineStr"/>
      <c r="O23" s="19" t="n">
        <v>472</v>
      </c>
      <c r="P23" s="19" t="inlineStr"/>
      <c r="Q23" s="32" t="n">
        <v>-153</v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 t="n">
        <v>312</v>
      </c>
      <c r="E24" s="20" t="n">
        <v>0.07371794871794872</v>
      </c>
      <c r="F24" s="19" t="n">
        <v>23</v>
      </c>
      <c r="G24" s="19" t="n">
        <v>0</v>
      </c>
      <c r="H24" s="19" t="n">
        <v>829</v>
      </c>
      <c r="I24" s="19" t="n">
        <v>1113</v>
      </c>
      <c r="J24" s="32" t="n">
        <v>-1057</v>
      </c>
      <c r="K24" s="19" t="n">
        <v>1615</v>
      </c>
      <c r="L24" s="20" t="n">
        <v>0</v>
      </c>
      <c r="M24" s="19" t="n">
        <v>0</v>
      </c>
      <c r="N24" s="19" t="n">
        <v>1432</v>
      </c>
      <c r="O24" s="19" t="n">
        <v>8171</v>
      </c>
      <c r="P24" s="19" t="n">
        <v>4609</v>
      </c>
      <c r="Q24" s="32" t="n">
        <v>-2029</v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29" t="n">
        <v>312</v>
      </c>
      <c r="E25" s="30" t="n">
        <v>0.07371794871794872</v>
      </c>
      <c r="F25" s="29" t="n">
        <v>23</v>
      </c>
      <c r="G25" s="29" t="inlineStr"/>
      <c r="H25" s="29" t="n">
        <v>607</v>
      </c>
      <c r="I25" s="29" t="n">
        <v>422</v>
      </c>
      <c r="J25" s="31" t="n">
        <v>-162</v>
      </c>
      <c r="K25" s="29" t="n">
        <v>1615</v>
      </c>
      <c r="L25" s="30" t="n">
        <v>0.06253869969040247</v>
      </c>
      <c r="M25" s="29" t="n">
        <v>101</v>
      </c>
      <c r="N25" s="29" t="n">
        <v>1432</v>
      </c>
      <c r="O25" s="29" t="n">
        <v>2651</v>
      </c>
      <c r="P25" s="29" t="n">
        <v>1697</v>
      </c>
      <c r="Q25" s="29" t="n">
        <v>579</v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29" t="inlineStr"/>
      <c r="E26" s="30" t="inlineStr"/>
      <c r="F26" s="29" t="inlineStr"/>
      <c r="G26" s="29" t="inlineStr"/>
      <c r="H26" s="29" t="n">
        <v>1586</v>
      </c>
      <c r="I26" s="29" t="n">
        <v>691</v>
      </c>
      <c r="J26" s="31" t="n">
        <v>-895</v>
      </c>
      <c r="K26" s="29" t="inlineStr"/>
      <c r="L26" s="30" t="inlineStr"/>
      <c r="M26" s="29" t="inlineStr"/>
      <c r="N26" s="29" t="inlineStr"/>
      <c r="O26" s="29" t="n">
        <v>5520</v>
      </c>
      <c r="P26" s="29" t="n">
        <v>2912</v>
      </c>
      <c r="Q26" s="31" t="n">
        <v>-2608</v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 t="n">
        <v>10140</v>
      </c>
      <c r="E27" s="20" t="n">
        <v>0.2665680473372781</v>
      </c>
      <c r="F27" s="19" t="n">
        <v>2703</v>
      </c>
      <c r="G27" s="19" t="n">
        <v>0</v>
      </c>
      <c r="H27" s="19" t="n">
        <v>2036</v>
      </c>
      <c r="I27" s="32" t="n">
        <v>-14</v>
      </c>
      <c r="J27" s="19" t="n">
        <v>653</v>
      </c>
      <c r="K27" s="19" t="n">
        <v>38464</v>
      </c>
      <c r="L27" s="20" t="n">
        <v>0.2671849001663893</v>
      </c>
      <c r="M27" s="19" t="n">
        <v>10277</v>
      </c>
      <c r="N27" s="19" t="n">
        <v>0</v>
      </c>
      <c r="O27" s="19" t="n">
        <v>8292</v>
      </c>
      <c r="P27" s="32" t="n">
        <v>-12</v>
      </c>
      <c r="Q27" s="19" t="n">
        <v>1973</v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 t="n">
        <v>7296</v>
      </c>
      <c r="E28" s="25" t="n">
        <v>0.1443256578947368</v>
      </c>
      <c r="F28" s="24" t="n">
        <v>1053</v>
      </c>
      <c r="G28" s="24" t="inlineStr"/>
      <c r="H28" s="24" t="n">
        <v>735</v>
      </c>
      <c r="I28" s="31" t="n">
        <v>-10</v>
      </c>
      <c r="J28" s="24" t="n">
        <v>308</v>
      </c>
      <c r="K28" s="24" t="n">
        <v>26780</v>
      </c>
      <c r="L28" s="25" t="n">
        <v>0.1418222554144884</v>
      </c>
      <c r="M28" s="24" t="n">
        <v>3798</v>
      </c>
      <c r="N28" s="24" t="inlineStr"/>
      <c r="O28" s="24" t="n">
        <v>3109</v>
      </c>
      <c r="P28" s="31" t="n">
        <v>-8</v>
      </c>
      <c r="Q28" s="24" t="n">
        <v>681</v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29" t="n">
        <v>270</v>
      </c>
      <c r="E29" s="30" t="n">
        <v>0.2148148148148148</v>
      </c>
      <c r="F29" s="29" t="n">
        <v>58</v>
      </c>
      <c r="G29" s="29" t="inlineStr"/>
      <c r="H29" s="29" t="n">
        <v>58</v>
      </c>
      <c r="I29" s="29" t="inlineStr"/>
      <c r="J29" s="29" t="inlineStr"/>
      <c r="K29" s="29" t="n">
        <v>1609</v>
      </c>
      <c r="L29" s="30" t="n">
        <v>0.2747047855811063</v>
      </c>
      <c r="M29" s="29" t="n">
        <v>442</v>
      </c>
      <c r="N29" s="29" t="inlineStr"/>
      <c r="O29" s="29" t="n">
        <v>373</v>
      </c>
      <c r="P29" s="31" t="n">
        <v>-1</v>
      </c>
      <c r="Q29" s="29" t="n">
        <v>68</v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29" t="n">
        <v>3530</v>
      </c>
      <c r="E30" s="30" t="n">
        <v>0.18328611898017</v>
      </c>
      <c r="F30" s="29" t="n">
        <v>647</v>
      </c>
      <c r="G30" s="29" t="inlineStr"/>
      <c r="H30" s="29" t="n">
        <v>428</v>
      </c>
      <c r="I30" s="31" t="n">
        <v>-5</v>
      </c>
      <c r="J30" s="29" t="n">
        <v>214</v>
      </c>
      <c r="K30" s="29" t="n">
        <v>13112</v>
      </c>
      <c r="L30" s="30" t="n">
        <v>0.1437614399023795</v>
      </c>
      <c r="M30" s="29" t="n">
        <v>1885</v>
      </c>
      <c r="N30" s="29" t="inlineStr"/>
      <c r="O30" s="29" t="n">
        <v>1762</v>
      </c>
      <c r="P30" s="29" t="inlineStr"/>
      <c r="Q30" s="29" t="n">
        <v>123</v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29" t="n">
        <v>3116</v>
      </c>
      <c r="E31" s="30" t="n">
        <v>0.02535301668806162</v>
      </c>
      <c r="F31" s="29" t="n">
        <v>79</v>
      </c>
      <c r="G31" s="29" t="inlineStr"/>
      <c r="H31" s="29" t="n">
        <v>107</v>
      </c>
      <c r="I31" s="31" t="n">
        <v>-4</v>
      </c>
      <c r="J31" s="31" t="n">
        <v>-32</v>
      </c>
      <c r="K31" s="29" t="n">
        <v>10540</v>
      </c>
      <c r="L31" s="30" t="n">
        <v>0.03719165085388994</v>
      </c>
      <c r="M31" s="29" t="n">
        <v>392</v>
      </c>
      <c r="N31" s="29" t="inlineStr"/>
      <c r="O31" s="29" t="n">
        <v>378</v>
      </c>
      <c r="P31" s="31" t="n">
        <v>-6</v>
      </c>
      <c r="Q31" s="29" t="n">
        <v>8</v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29" t="n">
        <v>380</v>
      </c>
      <c r="E32" s="30" t="n">
        <v>0.7078947368421052</v>
      </c>
      <c r="F32" s="29" t="n">
        <v>269</v>
      </c>
      <c r="G32" s="29" t="inlineStr"/>
      <c r="H32" s="29" t="n">
        <v>142</v>
      </c>
      <c r="I32" s="31" t="n">
        <v>-1</v>
      </c>
      <c r="J32" s="29" t="n">
        <v>126</v>
      </c>
      <c r="K32" s="29" t="n">
        <v>1519</v>
      </c>
      <c r="L32" s="30" t="n">
        <v>0.7103357472021067</v>
      </c>
      <c r="M32" s="29" t="n">
        <v>1079</v>
      </c>
      <c r="N32" s="29" t="inlineStr"/>
      <c r="O32" s="29" t="n">
        <v>596</v>
      </c>
      <c r="P32" s="31" t="n">
        <v>-1</v>
      </c>
      <c r="Q32" s="29" t="n">
        <v>482</v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 t="n">
        <v>2844</v>
      </c>
      <c r="E33" s="25" t="n">
        <v>0.580168776371308</v>
      </c>
      <c r="F33" s="24" t="n">
        <v>1650</v>
      </c>
      <c r="G33" s="24" t="inlineStr"/>
      <c r="H33" s="24" t="n">
        <v>1301</v>
      </c>
      <c r="I33" s="31" t="n">
        <v>-4</v>
      </c>
      <c r="J33" s="24" t="n">
        <v>345</v>
      </c>
      <c r="K33" s="24" t="n">
        <v>11684</v>
      </c>
      <c r="L33" s="25" t="n">
        <v>0.5545190003423485</v>
      </c>
      <c r="M33" s="24" t="n">
        <v>6479</v>
      </c>
      <c r="N33" s="24" t="inlineStr"/>
      <c r="O33" s="24" t="n">
        <v>5183</v>
      </c>
      <c r="P33" s="31" t="n">
        <v>-6</v>
      </c>
      <c r="Q33" s="24" t="n">
        <v>1290</v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29" t="n">
        <v>1451</v>
      </c>
      <c r="E34" s="30" t="n">
        <v>0.7057201929703653</v>
      </c>
      <c r="F34" s="29" t="n">
        <v>1024</v>
      </c>
      <c r="G34" s="29" t="inlineStr"/>
      <c r="H34" s="29" t="n">
        <v>801</v>
      </c>
      <c r="I34" s="31" t="n">
        <v>-2</v>
      </c>
      <c r="J34" s="29" t="n">
        <v>221</v>
      </c>
      <c r="K34" s="29" t="n">
        <v>5991</v>
      </c>
      <c r="L34" s="30" t="n">
        <v>0.6825237856785178</v>
      </c>
      <c r="M34" s="29" t="n">
        <v>4089</v>
      </c>
      <c r="N34" s="29" t="inlineStr"/>
      <c r="O34" s="29" t="n">
        <v>3342</v>
      </c>
      <c r="P34" s="31" t="n">
        <v>-4</v>
      </c>
      <c r="Q34" s="29" t="n">
        <v>743</v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29" t="n">
        <v>270</v>
      </c>
      <c r="E35" s="30" t="n">
        <v>0.7407407407407407</v>
      </c>
      <c r="F35" s="29" t="n">
        <v>200</v>
      </c>
      <c r="G35" s="29" t="inlineStr"/>
      <c r="H35" s="29" t="inlineStr"/>
      <c r="I35" s="29" t="inlineStr"/>
      <c r="J35" s="29" t="n">
        <v>200</v>
      </c>
      <c r="K35" s="29" t="n">
        <v>1059</v>
      </c>
      <c r="L35" s="30" t="n">
        <v>0.6430594900849859</v>
      </c>
      <c r="M35" s="29" t="n">
        <v>681</v>
      </c>
      <c r="N35" s="29" t="inlineStr"/>
      <c r="O35" s="29" t="inlineStr"/>
      <c r="P35" s="29" t="inlineStr"/>
      <c r="Q35" s="29" t="n">
        <v>681</v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29" t="n">
        <v>1123</v>
      </c>
      <c r="E36" s="30" t="n">
        <v>0.3793410507569012</v>
      </c>
      <c r="F36" s="29" t="n">
        <v>426</v>
      </c>
      <c r="G36" s="29" t="inlineStr"/>
      <c r="H36" s="29" t="n">
        <v>500</v>
      </c>
      <c r="I36" s="31" t="n">
        <v>-2</v>
      </c>
      <c r="J36" s="31" t="n">
        <v>-76</v>
      </c>
      <c r="K36" s="29" t="n">
        <v>4634</v>
      </c>
      <c r="L36" s="30" t="n">
        <v>0.3687958567112646</v>
      </c>
      <c r="M36" s="29" t="n">
        <v>1709</v>
      </c>
      <c r="N36" s="29" t="inlineStr"/>
      <c r="O36" s="29" t="n">
        <v>1841</v>
      </c>
      <c r="P36" s="31" t="n">
        <v>-2</v>
      </c>
      <c r="Q36" s="31" t="n">
        <v>-134</v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 t="n">
        <v>1477</v>
      </c>
      <c r="E37" s="15" t="n">
        <v>0.2247799593771158</v>
      </c>
      <c r="F37" s="14" t="n">
        <v>332</v>
      </c>
      <c r="G37" s="14" t="n">
        <v>0</v>
      </c>
      <c r="H37" s="14" t="n">
        <v>213</v>
      </c>
      <c r="I37" s="14" t="n">
        <v>0</v>
      </c>
      <c r="J37" s="14" t="n">
        <v>120</v>
      </c>
      <c r="K37" s="14" t="n">
        <v>6916</v>
      </c>
      <c r="L37" s="15" t="n">
        <v>0.2032967032967033</v>
      </c>
      <c r="M37" s="14" t="n">
        <v>1406</v>
      </c>
      <c r="N37" s="14" t="n">
        <v>0</v>
      </c>
      <c r="O37" s="14" t="n">
        <v>846</v>
      </c>
      <c r="P37" s="14" t="n">
        <v>0</v>
      </c>
      <c r="Q37" s="14" t="n">
        <v>560</v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29" t="n">
        <v>446</v>
      </c>
      <c r="E38" s="30" t="n">
        <v>0.07174887892376682</v>
      </c>
      <c r="F38" s="29" t="n">
        <v>32</v>
      </c>
      <c r="G38" s="29" t="inlineStr"/>
      <c r="H38" s="29" t="inlineStr"/>
      <c r="I38" s="29" t="inlineStr"/>
      <c r="J38" s="29" t="inlineStr"/>
      <c r="K38" s="29" t="n">
        <v>3671</v>
      </c>
      <c r="L38" s="30" t="n">
        <v>0.08989376191773359</v>
      </c>
      <c r="M38" s="29" t="n">
        <v>330</v>
      </c>
      <c r="N38" s="29" t="inlineStr"/>
      <c r="O38" s="29" t="inlineStr"/>
      <c r="P38" s="29" t="inlineStr"/>
      <c r="Q38" s="29" t="inlineStr"/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29" t="n">
        <v>280</v>
      </c>
      <c r="E39" s="30" t="n">
        <v>0.175</v>
      </c>
      <c r="F39" s="29" t="n">
        <v>49</v>
      </c>
      <c r="G39" s="29" t="inlineStr"/>
      <c r="H39" s="29" t="inlineStr"/>
      <c r="I39" s="29" t="inlineStr"/>
      <c r="J39" s="29" t="inlineStr"/>
      <c r="K39" s="29" t="n">
        <v>1108</v>
      </c>
      <c r="L39" s="30" t="n">
        <v>0.1714801444043321</v>
      </c>
      <c r="M39" s="29" t="n">
        <v>190</v>
      </c>
      <c r="N39" s="29" t="inlineStr"/>
      <c r="O39" s="29" t="inlineStr"/>
      <c r="P39" s="29" t="inlineStr"/>
      <c r="Q39" s="29" t="inlineStr"/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29" t="n">
        <v>293</v>
      </c>
      <c r="E40" s="30" t="n">
        <v>0.05802047781569966</v>
      </c>
      <c r="F40" s="29" t="n">
        <v>17</v>
      </c>
      <c r="G40" s="29" t="inlineStr"/>
      <c r="H40" s="29" t="inlineStr"/>
      <c r="I40" s="29" t="inlineStr"/>
      <c r="J40" s="29" t="inlineStr"/>
      <c r="K40" s="29" t="n">
        <v>544</v>
      </c>
      <c r="L40" s="30" t="n">
        <v>0.06801470588235294</v>
      </c>
      <c r="M40" s="29" t="n">
        <v>37</v>
      </c>
      <c r="N40" s="29" t="inlineStr"/>
      <c r="O40" s="29" t="inlineStr"/>
      <c r="P40" s="29" t="inlineStr"/>
      <c r="Q40" s="29" t="inlineStr"/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29" t="n">
        <v>263</v>
      </c>
      <c r="E41" s="30" t="n">
        <v>0.5513307984790875</v>
      </c>
      <c r="F41" s="29" t="n">
        <v>145</v>
      </c>
      <c r="G41" s="29" t="inlineStr"/>
      <c r="H41" s="29" t="inlineStr"/>
      <c r="I41" s="29" t="inlineStr"/>
      <c r="J41" s="29" t="inlineStr"/>
      <c r="K41" s="29" t="n">
        <v>766</v>
      </c>
      <c r="L41" s="30" t="n">
        <v>0.5078328981723238</v>
      </c>
      <c r="M41" s="29" t="n">
        <v>389</v>
      </c>
      <c r="N41" s="29" t="inlineStr"/>
      <c r="O41" s="29" t="inlineStr"/>
      <c r="P41" s="29" t="inlineStr"/>
      <c r="Q41" s="29" t="inlineStr"/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29" t="n">
        <v>81</v>
      </c>
      <c r="E42" s="30" t="n">
        <v>0.6296296296296297</v>
      </c>
      <c r="F42" s="29" t="n">
        <v>51</v>
      </c>
      <c r="G42" s="29" t="inlineStr"/>
      <c r="H42" s="29" t="inlineStr"/>
      <c r="I42" s="29" t="inlineStr"/>
      <c r="J42" s="29" t="inlineStr"/>
      <c r="K42" s="29" t="n">
        <v>348</v>
      </c>
      <c r="L42" s="30" t="n">
        <v>0.7040229885057471</v>
      </c>
      <c r="M42" s="29" t="n">
        <v>245</v>
      </c>
      <c r="N42" s="29" t="inlineStr"/>
      <c r="O42" s="29" t="inlineStr"/>
      <c r="P42" s="29" t="inlineStr"/>
      <c r="Q42" s="29" t="inlineStr"/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29" t="n">
        <v>48</v>
      </c>
      <c r="E43" s="30" t="n">
        <v>0.6875</v>
      </c>
      <c r="F43" s="29" t="n">
        <v>33</v>
      </c>
      <c r="G43" s="29" t="inlineStr"/>
      <c r="H43" s="29" t="inlineStr"/>
      <c r="I43" s="29" t="inlineStr"/>
      <c r="J43" s="29" t="inlineStr"/>
      <c r="K43" s="29" t="n">
        <v>280</v>
      </c>
      <c r="L43" s="30" t="n">
        <v>0.6678571428571428</v>
      </c>
      <c r="M43" s="29" t="n">
        <v>187</v>
      </c>
      <c r="N43" s="29" t="inlineStr"/>
      <c r="O43" s="29" t="inlineStr"/>
      <c r="P43" s="29" t="inlineStr"/>
      <c r="Q43" s="29" t="inlineStr"/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29" t="n">
        <v>67</v>
      </c>
      <c r="E44" s="30" t="n">
        <v>0.08955223880597014</v>
      </c>
      <c r="F44" s="29" t="n">
        <v>6</v>
      </c>
      <c r="G44" s="29" t="inlineStr"/>
      <c r="H44" s="29" t="inlineStr"/>
      <c r="I44" s="29" t="inlineStr"/>
      <c r="J44" s="29" t="inlineStr"/>
      <c r="K44" s="29" t="n">
        <v>199</v>
      </c>
      <c r="L44" s="30" t="n">
        <v>0.1407035175879397</v>
      </c>
      <c r="M44" s="29" t="n">
        <v>28</v>
      </c>
      <c r="N44" s="29" t="inlineStr"/>
      <c r="O44" s="29" t="inlineStr"/>
      <c r="P44" s="29" t="inlineStr"/>
      <c r="Q44" s="29" t="inlineStr"/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 t="n">
        <v>26437</v>
      </c>
      <c r="E45" s="37" t="n">
        <v>0.2255172674660514</v>
      </c>
      <c r="F45" s="36" t="n">
        <v>5962</v>
      </c>
      <c r="G45" s="36" t="n">
        <v>2</v>
      </c>
      <c r="H45" s="36" t="n">
        <v>5542</v>
      </c>
      <c r="I45" s="36" t="n">
        <v>1100</v>
      </c>
      <c r="J45" s="36" t="n">
        <v>162</v>
      </c>
      <c r="K45" s="36" t="n">
        <v>111669</v>
      </c>
      <c r="L45" s="37" t="n">
        <v>0.2441143020892101</v>
      </c>
      <c r="M45" s="36" t="n">
        <v>27260</v>
      </c>
      <c r="N45" s="36" t="n">
        <v>1470</v>
      </c>
      <c r="O45" s="36" t="n">
        <v>30119</v>
      </c>
      <c r="P45" s="36" t="n">
        <v>4617</v>
      </c>
      <c r="Q45" s="36" t="n">
        <v>3228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05/2026 VÀ LŨY KẾ 5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05</t>
        </is>
      </c>
      <c r="K5" s="10" t="inlineStr">
        <is>
          <t>LŨY KẾ 5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'Thang_04'!Q7+J7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'Thang_04'!Q8+J8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'Thang_04'!Q9+J9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'Thang_04'!K10+D10</f>
        <v/>
      </c>
      <c r="L10" s="30">
        <f>IF(K10&gt;0, M10/K10, 0)</f>
        <v/>
      </c>
      <c r="M10" s="29">
        <f>'Thang_04'!M10+F10</f>
        <v/>
      </c>
      <c r="N10" s="29">
        <f>'Thang_04'!N10+G10</f>
        <v/>
      </c>
      <c r="O10" s="29">
        <f>'Thang_04'!O10+H10</f>
        <v/>
      </c>
      <c r="P10" s="29">
        <f>'Thang_04'!P10+I10</f>
        <v/>
      </c>
      <c r="Q10" s="29">
        <f>'Thang_04'!Q10+J10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'Thang_04'!K11+D11</f>
        <v/>
      </c>
      <c r="L11" s="30">
        <f>IF(K11&gt;0, M11/K11, 0)</f>
        <v/>
      </c>
      <c r="M11" s="29">
        <f>'Thang_04'!M11+F11</f>
        <v/>
      </c>
      <c r="N11" s="29">
        <f>'Thang_04'!N11+G11</f>
        <v/>
      </c>
      <c r="O11" s="29">
        <f>'Thang_04'!O11+H11</f>
        <v/>
      </c>
      <c r="P11" s="29">
        <f>'Thang_04'!P11+I11</f>
        <v/>
      </c>
      <c r="Q11" s="29">
        <f>'Thang_04'!Q11+J11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'Thang_04'!K12+D12</f>
        <v/>
      </c>
      <c r="L12" s="30">
        <f>IF(K12&gt;0, M12/K12, 0)</f>
        <v/>
      </c>
      <c r="M12" s="29">
        <f>'Thang_04'!M12+F12</f>
        <v/>
      </c>
      <c r="N12" s="29">
        <f>'Thang_04'!N12+G12</f>
        <v/>
      </c>
      <c r="O12" s="29">
        <f>'Thang_04'!O12+H12</f>
        <v/>
      </c>
      <c r="P12" s="29">
        <f>'Thang_04'!P12+I12</f>
        <v/>
      </c>
      <c r="Q12" s="29">
        <f>'Thang_04'!Q12+J12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'Thang_04'!K13+D13</f>
        <v/>
      </c>
      <c r="L13" s="30">
        <f>IF(K13&gt;0, M13/K13, 0)</f>
        <v/>
      </c>
      <c r="M13" s="29">
        <f>'Thang_04'!M13+F13</f>
        <v/>
      </c>
      <c r="N13" s="29">
        <f>'Thang_04'!N13+G13</f>
        <v/>
      </c>
      <c r="O13" s="29">
        <f>'Thang_04'!O13+H13</f>
        <v/>
      </c>
      <c r="P13" s="29">
        <f>'Thang_04'!P13+I13</f>
        <v/>
      </c>
      <c r="Q13" s="29">
        <f>'Thang_04'!Q13+J13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'Thang_04'!K14+D14</f>
        <v/>
      </c>
      <c r="L14" s="30">
        <f>IF(K14&gt;0, M14/K14, 0)</f>
        <v/>
      </c>
      <c r="M14" s="29">
        <f>'Thang_04'!M14+F14</f>
        <v/>
      </c>
      <c r="N14" s="29">
        <f>'Thang_04'!N14+G14</f>
        <v/>
      </c>
      <c r="O14" s="29">
        <f>'Thang_04'!O14+H14</f>
        <v/>
      </c>
      <c r="P14" s="29">
        <f>'Thang_04'!P14+I14</f>
        <v/>
      </c>
      <c r="Q14" s="29">
        <f>'Thang_04'!Q14+J14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'Thang_04'!K15+D15</f>
        <v/>
      </c>
      <c r="L15" s="30">
        <f>IF(K15&gt;0, M15/K15, 0)</f>
        <v/>
      </c>
      <c r="M15" s="29">
        <f>'Thang_04'!M15+F15</f>
        <v/>
      </c>
      <c r="N15" s="29">
        <f>'Thang_04'!N15+G15</f>
        <v/>
      </c>
      <c r="O15" s="29">
        <f>'Thang_04'!O15+H15</f>
        <v/>
      </c>
      <c r="P15" s="29">
        <f>'Thang_04'!P15+I15</f>
        <v/>
      </c>
      <c r="Q15" s="29">
        <f>'Thang_04'!Q15+J15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'Thang_04'!K16+D16</f>
        <v/>
      </c>
      <c r="L16" s="30">
        <f>IF(K16&gt;0, M16/K16, 0)</f>
        <v/>
      </c>
      <c r="M16" s="29">
        <f>'Thang_04'!M16+F16</f>
        <v/>
      </c>
      <c r="N16" s="29">
        <f>'Thang_04'!N16+G16</f>
        <v/>
      </c>
      <c r="O16" s="29">
        <f>'Thang_04'!O16+H16</f>
        <v/>
      </c>
      <c r="P16" s="29">
        <f>'Thang_04'!P16+I16</f>
        <v/>
      </c>
      <c r="Q16" s="29">
        <f>'Thang_04'!Q16+J16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'Thang_04'!K17+D17</f>
        <v/>
      </c>
      <c r="L17" s="30">
        <f>IF(K17&gt;0, M17/K17, 0)</f>
        <v/>
      </c>
      <c r="M17" s="29">
        <f>'Thang_04'!M17+F17</f>
        <v/>
      </c>
      <c r="N17" s="29">
        <f>'Thang_04'!N17+G17</f>
        <v/>
      </c>
      <c r="O17" s="29">
        <f>'Thang_04'!O17+H17</f>
        <v/>
      </c>
      <c r="P17" s="29">
        <f>'Thang_04'!P17+I17</f>
        <v/>
      </c>
      <c r="Q17" s="29">
        <f>'Thang_04'!Q17+J17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'Thang_04'!Q18+J18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'Thang_04'!K19+D19</f>
        <v/>
      </c>
      <c r="L19" s="30">
        <f>IF(K19&gt;0, M19/K19, 0)</f>
        <v/>
      </c>
      <c r="M19" s="29">
        <f>'Thang_04'!M19+F19</f>
        <v/>
      </c>
      <c r="N19" s="29">
        <f>'Thang_04'!N19+G19</f>
        <v/>
      </c>
      <c r="O19" s="29">
        <f>'Thang_04'!O19+H19</f>
        <v/>
      </c>
      <c r="P19" s="29">
        <f>'Thang_04'!P19+I19</f>
        <v/>
      </c>
      <c r="Q19" s="29">
        <f>'Thang_04'!Q19+J19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'Thang_04'!K20+D20</f>
        <v/>
      </c>
      <c r="L20" s="30">
        <f>IF(K20&gt;0, M20/K20, 0)</f>
        <v/>
      </c>
      <c r="M20" s="29">
        <f>'Thang_04'!M20+F20</f>
        <v/>
      </c>
      <c r="N20" s="29">
        <f>'Thang_04'!N20+G20</f>
        <v/>
      </c>
      <c r="O20" s="29">
        <f>'Thang_04'!O20+H20</f>
        <v/>
      </c>
      <c r="P20" s="29">
        <f>'Thang_04'!P20+I20</f>
        <v/>
      </c>
      <c r="Q20" s="29">
        <f>'Thang_04'!Q20+J20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'Thang_04'!K21+D21</f>
        <v/>
      </c>
      <c r="L21" s="30">
        <f>IF(K21&gt;0, M21/K21, 0)</f>
        <v/>
      </c>
      <c r="M21" s="29">
        <f>'Thang_04'!M21+F21</f>
        <v/>
      </c>
      <c r="N21" s="29">
        <f>'Thang_04'!N21+G21</f>
        <v/>
      </c>
      <c r="O21" s="29">
        <f>'Thang_04'!O21+H21</f>
        <v/>
      </c>
      <c r="P21" s="29">
        <f>'Thang_04'!P21+I21</f>
        <v/>
      </c>
      <c r="Q21" s="29">
        <f>'Thang_04'!Q21+J21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'Thang_04'!K22+D22</f>
        <v/>
      </c>
      <c r="L22" s="30">
        <f>IF(K22&gt;0, M22/K22, 0)</f>
        <v/>
      </c>
      <c r="M22" s="29">
        <f>'Thang_04'!M22+F22</f>
        <v/>
      </c>
      <c r="N22" s="29">
        <f>'Thang_04'!N22+G22</f>
        <v/>
      </c>
      <c r="O22" s="29">
        <f>'Thang_04'!O22+H22</f>
        <v/>
      </c>
      <c r="P22" s="29">
        <f>'Thang_04'!P22+I22</f>
        <v/>
      </c>
      <c r="Q22" s="29">
        <f>'Thang_04'!Q22+J22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'Thang_04'!K23+D23</f>
        <v/>
      </c>
      <c r="L23" s="20">
        <f>IF(K23&gt;0, M23/K23, 0)</f>
        <v/>
      </c>
      <c r="M23" s="19">
        <f>'Thang_04'!M23+F23</f>
        <v/>
      </c>
      <c r="N23" s="19">
        <f>'Thang_04'!N23+G23</f>
        <v/>
      </c>
      <c r="O23" s="19">
        <f>'Thang_04'!O23+H23</f>
        <v/>
      </c>
      <c r="P23" s="19">
        <f>'Thang_04'!P23+I23</f>
        <v/>
      </c>
      <c r="Q23" s="19">
        <f>'Thang_04'!Q23+J23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'Thang_04'!Q24+J24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'Thang_04'!K25+D25</f>
        <v/>
      </c>
      <c r="L25" s="30">
        <f>IF(K25&gt;0, M25/K25, 0)</f>
        <v/>
      </c>
      <c r="M25" s="29">
        <f>'Thang_04'!M25+F25</f>
        <v/>
      </c>
      <c r="N25" s="29">
        <f>'Thang_04'!N25+G25</f>
        <v/>
      </c>
      <c r="O25" s="29">
        <f>'Thang_04'!O25+H25</f>
        <v/>
      </c>
      <c r="P25" s="29">
        <f>'Thang_04'!P25+I25</f>
        <v/>
      </c>
      <c r="Q25" s="29">
        <f>'Thang_04'!Q25+J25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'Thang_04'!K26+D26</f>
        <v/>
      </c>
      <c r="L26" s="30">
        <f>IF(K26&gt;0, M26/K26, 0)</f>
        <v/>
      </c>
      <c r="M26" s="29">
        <f>'Thang_04'!M26+F26</f>
        <v/>
      </c>
      <c r="N26" s="29">
        <f>'Thang_04'!N26+G26</f>
        <v/>
      </c>
      <c r="O26" s="29">
        <f>'Thang_04'!O26+H26</f>
        <v/>
      </c>
      <c r="P26" s="29">
        <f>'Thang_04'!P26+I26</f>
        <v/>
      </c>
      <c r="Q26" s="29">
        <f>'Thang_04'!Q26+J26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'Thang_04'!Q27+J27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'Thang_04'!Q28+J28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'Thang_04'!K29+D29</f>
        <v/>
      </c>
      <c r="L29" s="30">
        <f>IF(K29&gt;0, M29/K29, 0)</f>
        <v/>
      </c>
      <c r="M29" s="29">
        <f>'Thang_04'!M29+F29</f>
        <v/>
      </c>
      <c r="N29" s="29">
        <f>'Thang_04'!N29+G29</f>
        <v/>
      </c>
      <c r="O29" s="29">
        <f>'Thang_04'!O29+H29</f>
        <v/>
      </c>
      <c r="P29" s="29">
        <f>'Thang_04'!P29+I29</f>
        <v/>
      </c>
      <c r="Q29" s="29">
        <f>'Thang_04'!Q29+J29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'Thang_04'!K30+D30</f>
        <v/>
      </c>
      <c r="L30" s="30">
        <f>IF(K30&gt;0, M30/K30, 0)</f>
        <v/>
      </c>
      <c r="M30" s="29">
        <f>'Thang_04'!M30+F30</f>
        <v/>
      </c>
      <c r="N30" s="29">
        <f>'Thang_04'!N30+G30</f>
        <v/>
      </c>
      <c r="O30" s="29">
        <f>'Thang_04'!O30+H30</f>
        <v/>
      </c>
      <c r="P30" s="29">
        <f>'Thang_04'!P30+I30</f>
        <v/>
      </c>
      <c r="Q30" s="29">
        <f>'Thang_04'!Q30+J30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'Thang_04'!K31+D31</f>
        <v/>
      </c>
      <c r="L31" s="30">
        <f>IF(K31&gt;0, M31/K31, 0)</f>
        <v/>
      </c>
      <c r="M31" s="29">
        <f>'Thang_04'!M31+F31</f>
        <v/>
      </c>
      <c r="N31" s="29">
        <f>'Thang_04'!N31+G31</f>
        <v/>
      </c>
      <c r="O31" s="29">
        <f>'Thang_04'!O31+H31</f>
        <v/>
      </c>
      <c r="P31" s="29">
        <f>'Thang_04'!P31+I31</f>
        <v/>
      </c>
      <c r="Q31" s="29">
        <f>'Thang_04'!Q31+J31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'Thang_04'!K32+D32</f>
        <v/>
      </c>
      <c r="L32" s="30">
        <f>IF(K32&gt;0, M32/K32, 0)</f>
        <v/>
      </c>
      <c r="M32" s="29">
        <f>'Thang_04'!M32+F32</f>
        <v/>
      </c>
      <c r="N32" s="29">
        <f>'Thang_04'!N32+G32</f>
        <v/>
      </c>
      <c r="O32" s="29">
        <f>'Thang_04'!O32+H32</f>
        <v/>
      </c>
      <c r="P32" s="29">
        <f>'Thang_04'!P32+I32</f>
        <v/>
      </c>
      <c r="Q32" s="29">
        <f>'Thang_04'!Q32+J32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'Thang_04'!Q33+J33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'Thang_04'!K34+D34</f>
        <v/>
      </c>
      <c r="L34" s="30">
        <f>IF(K34&gt;0, M34/K34, 0)</f>
        <v/>
      </c>
      <c r="M34" s="29">
        <f>'Thang_04'!M34+F34</f>
        <v/>
      </c>
      <c r="N34" s="29">
        <f>'Thang_04'!N34+G34</f>
        <v/>
      </c>
      <c r="O34" s="29">
        <f>'Thang_04'!O34+H34</f>
        <v/>
      </c>
      <c r="P34" s="29">
        <f>'Thang_04'!P34+I34</f>
        <v/>
      </c>
      <c r="Q34" s="29">
        <f>'Thang_04'!Q34+J34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'Thang_04'!K35+D35</f>
        <v/>
      </c>
      <c r="L35" s="30">
        <f>IF(K35&gt;0, M35/K35, 0)</f>
        <v/>
      </c>
      <c r="M35" s="29">
        <f>'Thang_04'!M35+F35</f>
        <v/>
      </c>
      <c r="N35" s="29">
        <f>'Thang_04'!N35+G35</f>
        <v/>
      </c>
      <c r="O35" s="29">
        <f>'Thang_04'!O35+H35</f>
        <v/>
      </c>
      <c r="P35" s="29">
        <f>'Thang_04'!P35+I35</f>
        <v/>
      </c>
      <c r="Q35" s="29">
        <f>'Thang_04'!Q35+J35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'Thang_04'!K36+D36</f>
        <v/>
      </c>
      <c r="L36" s="30">
        <f>IF(K36&gt;0, M36/K36, 0)</f>
        <v/>
      </c>
      <c r="M36" s="29">
        <f>'Thang_04'!M36+F36</f>
        <v/>
      </c>
      <c r="N36" s="29">
        <f>'Thang_04'!N36+G36</f>
        <v/>
      </c>
      <c r="O36" s="29">
        <f>'Thang_04'!O36+H36</f>
        <v/>
      </c>
      <c r="P36" s="29">
        <f>'Thang_04'!P36+I36</f>
        <v/>
      </c>
      <c r="Q36" s="29">
        <f>'Thang_04'!Q36+J36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'Thang_04'!Q37+J37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'Thang_04'!K38+D38</f>
        <v/>
      </c>
      <c r="L38" s="30">
        <f>IF(K38&gt;0, M38/K38, 0)</f>
        <v/>
      </c>
      <c r="M38" s="29">
        <f>'Thang_04'!M38+F38</f>
        <v/>
      </c>
      <c r="N38" s="29">
        <f>'Thang_04'!N38+G38</f>
        <v/>
      </c>
      <c r="O38" s="29">
        <f>'Thang_04'!O38+H38</f>
        <v/>
      </c>
      <c r="P38" s="29">
        <f>'Thang_04'!P38+I38</f>
        <v/>
      </c>
      <c r="Q38" s="29">
        <f>'Thang_04'!Q38+J38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'Thang_04'!K39+D39</f>
        <v/>
      </c>
      <c r="L39" s="30">
        <f>IF(K39&gt;0, M39/K39, 0)</f>
        <v/>
      </c>
      <c r="M39" s="29">
        <f>'Thang_04'!M39+F39</f>
        <v/>
      </c>
      <c r="N39" s="29">
        <f>'Thang_04'!N39+G39</f>
        <v/>
      </c>
      <c r="O39" s="29">
        <f>'Thang_04'!O39+H39</f>
        <v/>
      </c>
      <c r="P39" s="29">
        <f>'Thang_04'!P39+I39</f>
        <v/>
      </c>
      <c r="Q39" s="29">
        <f>'Thang_04'!Q39+J39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'Thang_04'!K40+D40</f>
        <v/>
      </c>
      <c r="L40" s="30">
        <f>IF(K40&gt;0, M40/K40, 0)</f>
        <v/>
      </c>
      <c r="M40" s="29">
        <f>'Thang_04'!M40+F40</f>
        <v/>
      </c>
      <c r="N40" s="29">
        <f>'Thang_04'!N40+G40</f>
        <v/>
      </c>
      <c r="O40" s="29">
        <f>'Thang_04'!O40+H40</f>
        <v/>
      </c>
      <c r="P40" s="29">
        <f>'Thang_04'!P40+I40</f>
        <v/>
      </c>
      <c r="Q40" s="29">
        <f>'Thang_04'!Q40+J40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'Thang_04'!K41+D41</f>
        <v/>
      </c>
      <c r="L41" s="30">
        <f>IF(K41&gt;0, M41/K41, 0)</f>
        <v/>
      </c>
      <c r="M41" s="29">
        <f>'Thang_04'!M41+F41</f>
        <v/>
      </c>
      <c r="N41" s="29">
        <f>'Thang_04'!N41+G41</f>
        <v/>
      </c>
      <c r="O41" s="29">
        <f>'Thang_04'!O41+H41</f>
        <v/>
      </c>
      <c r="P41" s="29">
        <f>'Thang_04'!P41+I41</f>
        <v/>
      </c>
      <c r="Q41" s="29">
        <f>'Thang_04'!Q41+J41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'Thang_04'!K42+D42</f>
        <v/>
      </c>
      <c r="L42" s="30">
        <f>IF(K42&gt;0, M42/K42, 0)</f>
        <v/>
      </c>
      <c r="M42" s="29">
        <f>'Thang_04'!M42+F42</f>
        <v/>
      </c>
      <c r="N42" s="29">
        <f>'Thang_04'!N42+G42</f>
        <v/>
      </c>
      <c r="O42" s="29">
        <f>'Thang_04'!O42+H42</f>
        <v/>
      </c>
      <c r="P42" s="29">
        <f>'Thang_04'!P42+I42</f>
        <v/>
      </c>
      <c r="Q42" s="29">
        <f>'Thang_04'!Q42+J42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'Thang_04'!K43+D43</f>
        <v/>
      </c>
      <c r="L43" s="30">
        <f>IF(K43&gt;0, M43/K43, 0)</f>
        <v/>
      </c>
      <c r="M43" s="29">
        <f>'Thang_04'!M43+F43</f>
        <v/>
      </c>
      <c r="N43" s="29">
        <f>'Thang_04'!N43+G43</f>
        <v/>
      </c>
      <c r="O43" s="29">
        <f>'Thang_04'!O43+H43</f>
        <v/>
      </c>
      <c r="P43" s="29">
        <f>'Thang_04'!P43+I43</f>
        <v/>
      </c>
      <c r="Q43" s="29">
        <f>'Thang_04'!Q43+J43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'Thang_04'!K44+D44</f>
        <v/>
      </c>
      <c r="L44" s="30">
        <f>IF(K44&gt;0, M44/K44, 0)</f>
        <v/>
      </c>
      <c r="M44" s="29">
        <f>'Thang_04'!M44+F44</f>
        <v/>
      </c>
      <c r="N44" s="29">
        <f>'Thang_04'!N44+G44</f>
        <v/>
      </c>
      <c r="O44" s="29">
        <f>'Thang_04'!O44+H44</f>
        <v/>
      </c>
      <c r="P44" s="29">
        <f>'Thang_04'!P44+I44</f>
        <v/>
      </c>
      <c r="Q44" s="29">
        <f>'Thang_04'!Q44+J44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'Thang_04'!Q45+J45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06/2026 VÀ LŨY KẾ 6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06</t>
        </is>
      </c>
      <c r="K5" s="10" t="inlineStr">
        <is>
          <t>LŨY KẾ 6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'Thang_05'!Q7+J7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'Thang_05'!Q8+J8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'Thang_05'!Q9+J9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'Thang_05'!K10+D10</f>
        <v/>
      </c>
      <c r="L10" s="30">
        <f>IF(K10&gt;0, M10/K10, 0)</f>
        <v/>
      </c>
      <c r="M10" s="29">
        <f>'Thang_05'!M10+F10</f>
        <v/>
      </c>
      <c r="N10" s="29">
        <f>'Thang_05'!N10+G10</f>
        <v/>
      </c>
      <c r="O10" s="29">
        <f>'Thang_05'!O10+H10</f>
        <v/>
      </c>
      <c r="P10" s="29">
        <f>'Thang_05'!P10+I10</f>
        <v/>
      </c>
      <c r="Q10" s="29">
        <f>'Thang_05'!Q10+J10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'Thang_05'!K11+D11</f>
        <v/>
      </c>
      <c r="L11" s="30">
        <f>IF(K11&gt;0, M11/K11, 0)</f>
        <v/>
      </c>
      <c r="M11" s="29">
        <f>'Thang_05'!M11+F11</f>
        <v/>
      </c>
      <c r="N11" s="29">
        <f>'Thang_05'!N11+G11</f>
        <v/>
      </c>
      <c r="O11" s="29">
        <f>'Thang_05'!O11+H11</f>
        <v/>
      </c>
      <c r="P11" s="29">
        <f>'Thang_05'!P11+I11</f>
        <v/>
      </c>
      <c r="Q11" s="29">
        <f>'Thang_05'!Q11+J11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'Thang_05'!K12+D12</f>
        <v/>
      </c>
      <c r="L12" s="30">
        <f>IF(K12&gt;0, M12/K12, 0)</f>
        <v/>
      </c>
      <c r="M12" s="29">
        <f>'Thang_05'!M12+F12</f>
        <v/>
      </c>
      <c r="N12" s="29">
        <f>'Thang_05'!N12+G12</f>
        <v/>
      </c>
      <c r="O12" s="29">
        <f>'Thang_05'!O12+H12</f>
        <v/>
      </c>
      <c r="P12" s="29">
        <f>'Thang_05'!P12+I12</f>
        <v/>
      </c>
      <c r="Q12" s="29">
        <f>'Thang_05'!Q12+J12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'Thang_05'!K13+D13</f>
        <v/>
      </c>
      <c r="L13" s="30">
        <f>IF(K13&gt;0, M13/K13, 0)</f>
        <v/>
      </c>
      <c r="M13" s="29">
        <f>'Thang_05'!M13+F13</f>
        <v/>
      </c>
      <c r="N13" s="29">
        <f>'Thang_05'!N13+G13</f>
        <v/>
      </c>
      <c r="O13" s="29">
        <f>'Thang_05'!O13+H13</f>
        <v/>
      </c>
      <c r="P13" s="29">
        <f>'Thang_05'!P13+I13</f>
        <v/>
      </c>
      <c r="Q13" s="29">
        <f>'Thang_05'!Q13+J13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'Thang_05'!K14+D14</f>
        <v/>
      </c>
      <c r="L14" s="30">
        <f>IF(K14&gt;0, M14/K14, 0)</f>
        <v/>
      </c>
      <c r="M14" s="29">
        <f>'Thang_05'!M14+F14</f>
        <v/>
      </c>
      <c r="N14" s="29">
        <f>'Thang_05'!N14+G14</f>
        <v/>
      </c>
      <c r="O14" s="29">
        <f>'Thang_05'!O14+H14</f>
        <v/>
      </c>
      <c r="P14" s="29">
        <f>'Thang_05'!P14+I14</f>
        <v/>
      </c>
      <c r="Q14" s="29">
        <f>'Thang_05'!Q14+J14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'Thang_05'!K15+D15</f>
        <v/>
      </c>
      <c r="L15" s="30">
        <f>IF(K15&gt;0, M15/K15, 0)</f>
        <v/>
      </c>
      <c r="M15" s="29">
        <f>'Thang_05'!M15+F15</f>
        <v/>
      </c>
      <c r="N15" s="29">
        <f>'Thang_05'!N15+G15</f>
        <v/>
      </c>
      <c r="O15" s="29">
        <f>'Thang_05'!O15+H15</f>
        <v/>
      </c>
      <c r="P15" s="29">
        <f>'Thang_05'!P15+I15</f>
        <v/>
      </c>
      <c r="Q15" s="29">
        <f>'Thang_05'!Q15+J15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'Thang_05'!K16+D16</f>
        <v/>
      </c>
      <c r="L16" s="30">
        <f>IF(K16&gt;0, M16/K16, 0)</f>
        <v/>
      </c>
      <c r="M16" s="29">
        <f>'Thang_05'!M16+F16</f>
        <v/>
      </c>
      <c r="N16" s="29">
        <f>'Thang_05'!N16+G16</f>
        <v/>
      </c>
      <c r="O16" s="29">
        <f>'Thang_05'!O16+H16</f>
        <v/>
      </c>
      <c r="P16" s="29">
        <f>'Thang_05'!P16+I16</f>
        <v/>
      </c>
      <c r="Q16" s="29">
        <f>'Thang_05'!Q16+J16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'Thang_05'!K17+D17</f>
        <v/>
      </c>
      <c r="L17" s="30">
        <f>IF(K17&gt;0, M17/K17, 0)</f>
        <v/>
      </c>
      <c r="M17" s="29">
        <f>'Thang_05'!M17+F17</f>
        <v/>
      </c>
      <c r="N17" s="29">
        <f>'Thang_05'!N17+G17</f>
        <v/>
      </c>
      <c r="O17" s="29">
        <f>'Thang_05'!O17+H17</f>
        <v/>
      </c>
      <c r="P17" s="29">
        <f>'Thang_05'!P17+I17</f>
        <v/>
      </c>
      <c r="Q17" s="29">
        <f>'Thang_05'!Q17+J17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'Thang_05'!Q18+J18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'Thang_05'!K19+D19</f>
        <v/>
      </c>
      <c r="L19" s="30">
        <f>IF(K19&gt;0, M19/K19, 0)</f>
        <v/>
      </c>
      <c r="M19" s="29">
        <f>'Thang_05'!M19+F19</f>
        <v/>
      </c>
      <c r="N19" s="29">
        <f>'Thang_05'!N19+G19</f>
        <v/>
      </c>
      <c r="O19" s="29">
        <f>'Thang_05'!O19+H19</f>
        <v/>
      </c>
      <c r="P19" s="29">
        <f>'Thang_05'!P19+I19</f>
        <v/>
      </c>
      <c r="Q19" s="29">
        <f>'Thang_05'!Q19+J19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'Thang_05'!K20+D20</f>
        <v/>
      </c>
      <c r="L20" s="30">
        <f>IF(K20&gt;0, M20/K20, 0)</f>
        <v/>
      </c>
      <c r="M20" s="29">
        <f>'Thang_05'!M20+F20</f>
        <v/>
      </c>
      <c r="N20" s="29">
        <f>'Thang_05'!N20+G20</f>
        <v/>
      </c>
      <c r="O20" s="29">
        <f>'Thang_05'!O20+H20</f>
        <v/>
      </c>
      <c r="P20" s="29">
        <f>'Thang_05'!P20+I20</f>
        <v/>
      </c>
      <c r="Q20" s="29">
        <f>'Thang_05'!Q20+J20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'Thang_05'!K21+D21</f>
        <v/>
      </c>
      <c r="L21" s="30">
        <f>IF(K21&gt;0, M21/K21, 0)</f>
        <v/>
      </c>
      <c r="M21" s="29">
        <f>'Thang_05'!M21+F21</f>
        <v/>
      </c>
      <c r="N21" s="29">
        <f>'Thang_05'!N21+G21</f>
        <v/>
      </c>
      <c r="O21" s="29">
        <f>'Thang_05'!O21+H21</f>
        <v/>
      </c>
      <c r="P21" s="29">
        <f>'Thang_05'!P21+I21</f>
        <v/>
      </c>
      <c r="Q21" s="29">
        <f>'Thang_05'!Q21+J21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'Thang_05'!K22+D22</f>
        <v/>
      </c>
      <c r="L22" s="30">
        <f>IF(K22&gt;0, M22/K22, 0)</f>
        <v/>
      </c>
      <c r="M22" s="29">
        <f>'Thang_05'!M22+F22</f>
        <v/>
      </c>
      <c r="N22" s="29">
        <f>'Thang_05'!N22+G22</f>
        <v/>
      </c>
      <c r="O22" s="29">
        <f>'Thang_05'!O22+H22</f>
        <v/>
      </c>
      <c r="P22" s="29">
        <f>'Thang_05'!P22+I22</f>
        <v/>
      </c>
      <c r="Q22" s="29">
        <f>'Thang_05'!Q22+J22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'Thang_05'!K23+D23</f>
        <v/>
      </c>
      <c r="L23" s="20">
        <f>IF(K23&gt;0, M23/K23, 0)</f>
        <v/>
      </c>
      <c r="M23" s="19">
        <f>'Thang_05'!M23+F23</f>
        <v/>
      </c>
      <c r="N23" s="19">
        <f>'Thang_05'!N23+G23</f>
        <v/>
      </c>
      <c r="O23" s="19">
        <f>'Thang_05'!O23+H23</f>
        <v/>
      </c>
      <c r="P23" s="19">
        <f>'Thang_05'!P23+I23</f>
        <v/>
      </c>
      <c r="Q23" s="19">
        <f>'Thang_05'!Q23+J23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'Thang_05'!Q24+J24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'Thang_05'!K25+D25</f>
        <v/>
      </c>
      <c r="L25" s="30">
        <f>IF(K25&gt;0, M25/K25, 0)</f>
        <v/>
      </c>
      <c r="M25" s="29">
        <f>'Thang_05'!M25+F25</f>
        <v/>
      </c>
      <c r="N25" s="29">
        <f>'Thang_05'!N25+G25</f>
        <v/>
      </c>
      <c r="O25" s="29">
        <f>'Thang_05'!O25+H25</f>
        <v/>
      </c>
      <c r="P25" s="29">
        <f>'Thang_05'!P25+I25</f>
        <v/>
      </c>
      <c r="Q25" s="29">
        <f>'Thang_05'!Q25+J25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'Thang_05'!K26+D26</f>
        <v/>
      </c>
      <c r="L26" s="30">
        <f>IF(K26&gt;0, M26/K26, 0)</f>
        <v/>
      </c>
      <c r="M26" s="29">
        <f>'Thang_05'!M26+F26</f>
        <v/>
      </c>
      <c r="N26" s="29">
        <f>'Thang_05'!N26+G26</f>
        <v/>
      </c>
      <c r="O26" s="29">
        <f>'Thang_05'!O26+H26</f>
        <v/>
      </c>
      <c r="P26" s="29">
        <f>'Thang_05'!P26+I26</f>
        <v/>
      </c>
      <c r="Q26" s="29">
        <f>'Thang_05'!Q26+J26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'Thang_05'!Q27+J27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'Thang_05'!Q28+J28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'Thang_05'!K29+D29</f>
        <v/>
      </c>
      <c r="L29" s="30">
        <f>IF(K29&gt;0, M29/K29, 0)</f>
        <v/>
      </c>
      <c r="M29" s="29">
        <f>'Thang_05'!M29+F29</f>
        <v/>
      </c>
      <c r="N29" s="29">
        <f>'Thang_05'!N29+G29</f>
        <v/>
      </c>
      <c r="O29" s="29">
        <f>'Thang_05'!O29+H29</f>
        <v/>
      </c>
      <c r="P29" s="29">
        <f>'Thang_05'!P29+I29</f>
        <v/>
      </c>
      <c r="Q29" s="29">
        <f>'Thang_05'!Q29+J29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'Thang_05'!K30+D30</f>
        <v/>
      </c>
      <c r="L30" s="30">
        <f>IF(K30&gt;0, M30/K30, 0)</f>
        <v/>
      </c>
      <c r="M30" s="29">
        <f>'Thang_05'!M30+F30</f>
        <v/>
      </c>
      <c r="N30" s="29">
        <f>'Thang_05'!N30+G30</f>
        <v/>
      </c>
      <c r="O30" s="29">
        <f>'Thang_05'!O30+H30</f>
        <v/>
      </c>
      <c r="P30" s="29">
        <f>'Thang_05'!P30+I30</f>
        <v/>
      </c>
      <c r="Q30" s="29">
        <f>'Thang_05'!Q30+J30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'Thang_05'!K31+D31</f>
        <v/>
      </c>
      <c r="L31" s="30">
        <f>IF(K31&gt;0, M31/K31, 0)</f>
        <v/>
      </c>
      <c r="M31" s="29">
        <f>'Thang_05'!M31+F31</f>
        <v/>
      </c>
      <c r="N31" s="29">
        <f>'Thang_05'!N31+G31</f>
        <v/>
      </c>
      <c r="O31" s="29">
        <f>'Thang_05'!O31+H31</f>
        <v/>
      </c>
      <c r="P31" s="29">
        <f>'Thang_05'!P31+I31</f>
        <v/>
      </c>
      <c r="Q31" s="29">
        <f>'Thang_05'!Q31+J31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'Thang_05'!K32+D32</f>
        <v/>
      </c>
      <c r="L32" s="30">
        <f>IF(K32&gt;0, M32/K32, 0)</f>
        <v/>
      </c>
      <c r="M32" s="29">
        <f>'Thang_05'!M32+F32</f>
        <v/>
      </c>
      <c r="N32" s="29">
        <f>'Thang_05'!N32+G32</f>
        <v/>
      </c>
      <c r="O32" s="29">
        <f>'Thang_05'!O32+H32</f>
        <v/>
      </c>
      <c r="P32" s="29">
        <f>'Thang_05'!P32+I32</f>
        <v/>
      </c>
      <c r="Q32" s="29">
        <f>'Thang_05'!Q32+J32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'Thang_05'!Q33+J33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'Thang_05'!K34+D34</f>
        <v/>
      </c>
      <c r="L34" s="30">
        <f>IF(K34&gt;0, M34/K34, 0)</f>
        <v/>
      </c>
      <c r="M34" s="29">
        <f>'Thang_05'!M34+F34</f>
        <v/>
      </c>
      <c r="N34" s="29">
        <f>'Thang_05'!N34+G34</f>
        <v/>
      </c>
      <c r="O34" s="29">
        <f>'Thang_05'!O34+H34</f>
        <v/>
      </c>
      <c r="P34" s="29">
        <f>'Thang_05'!P34+I34</f>
        <v/>
      </c>
      <c r="Q34" s="29">
        <f>'Thang_05'!Q34+J34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'Thang_05'!K35+D35</f>
        <v/>
      </c>
      <c r="L35" s="30">
        <f>IF(K35&gt;0, M35/K35, 0)</f>
        <v/>
      </c>
      <c r="M35" s="29">
        <f>'Thang_05'!M35+F35</f>
        <v/>
      </c>
      <c r="N35" s="29">
        <f>'Thang_05'!N35+G35</f>
        <v/>
      </c>
      <c r="O35" s="29">
        <f>'Thang_05'!O35+H35</f>
        <v/>
      </c>
      <c r="P35" s="29">
        <f>'Thang_05'!P35+I35</f>
        <v/>
      </c>
      <c r="Q35" s="29">
        <f>'Thang_05'!Q35+J35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'Thang_05'!K36+D36</f>
        <v/>
      </c>
      <c r="L36" s="30">
        <f>IF(K36&gt;0, M36/K36, 0)</f>
        <v/>
      </c>
      <c r="M36" s="29">
        <f>'Thang_05'!M36+F36</f>
        <v/>
      </c>
      <c r="N36" s="29">
        <f>'Thang_05'!N36+G36</f>
        <v/>
      </c>
      <c r="O36" s="29">
        <f>'Thang_05'!O36+H36</f>
        <v/>
      </c>
      <c r="P36" s="29">
        <f>'Thang_05'!P36+I36</f>
        <v/>
      </c>
      <c r="Q36" s="29">
        <f>'Thang_05'!Q36+J36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'Thang_05'!Q37+J37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'Thang_05'!K38+D38</f>
        <v/>
      </c>
      <c r="L38" s="30">
        <f>IF(K38&gt;0, M38/K38, 0)</f>
        <v/>
      </c>
      <c r="M38" s="29">
        <f>'Thang_05'!M38+F38</f>
        <v/>
      </c>
      <c r="N38" s="29">
        <f>'Thang_05'!N38+G38</f>
        <v/>
      </c>
      <c r="O38" s="29">
        <f>'Thang_05'!O38+H38</f>
        <v/>
      </c>
      <c r="P38" s="29">
        <f>'Thang_05'!P38+I38</f>
        <v/>
      </c>
      <c r="Q38" s="29">
        <f>'Thang_05'!Q38+J38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'Thang_05'!K39+D39</f>
        <v/>
      </c>
      <c r="L39" s="30">
        <f>IF(K39&gt;0, M39/K39, 0)</f>
        <v/>
      </c>
      <c r="M39" s="29">
        <f>'Thang_05'!M39+F39</f>
        <v/>
      </c>
      <c r="N39" s="29">
        <f>'Thang_05'!N39+G39</f>
        <v/>
      </c>
      <c r="O39" s="29">
        <f>'Thang_05'!O39+H39</f>
        <v/>
      </c>
      <c r="P39" s="29">
        <f>'Thang_05'!P39+I39</f>
        <v/>
      </c>
      <c r="Q39" s="29">
        <f>'Thang_05'!Q39+J39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'Thang_05'!K40+D40</f>
        <v/>
      </c>
      <c r="L40" s="30">
        <f>IF(K40&gt;0, M40/K40, 0)</f>
        <v/>
      </c>
      <c r="M40" s="29">
        <f>'Thang_05'!M40+F40</f>
        <v/>
      </c>
      <c r="N40" s="29">
        <f>'Thang_05'!N40+G40</f>
        <v/>
      </c>
      <c r="O40" s="29">
        <f>'Thang_05'!O40+H40</f>
        <v/>
      </c>
      <c r="P40" s="29">
        <f>'Thang_05'!P40+I40</f>
        <v/>
      </c>
      <c r="Q40" s="29">
        <f>'Thang_05'!Q40+J40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'Thang_05'!K41+D41</f>
        <v/>
      </c>
      <c r="L41" s="30">
        <f>IF(K41&gt;0, M41/K41, 0)</f>
        <v/>
      </c>
      <c r="M41" s="29">
        <f>'Thang_05'!M41+F41</f>
        <v/>
      </c>
      <c r="N41" s="29">
        <f>'Thang_05'!N41+G41</f>
        <v/>
      </c>
      <c r="O41" s="29">
        <f>'Thang_05'!O41+H41</f>
        <v/>
      </c>
      <c r="P41" s="29">
        <f>'Thang_05'!P41+I41</f>
        <v/>
      </c>
      <c r="Q41" s="29">
        <f>'Thang_05'!Q41+J41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'Thang_05'!K42+D42</f>
        <v/>
      </c>
      <c r="L42" s="30">
        <f>IF(K42&gt;0, M42/K42, 0)</f>
        <v/>
      </c>
      <c r="M42" s="29">
        <f>'Thang_05'!M42+F42</f>
        <v/>
      </c>
      <c r="N42" s="29">
        <f>'Thang_05'!N42+G42</f>
        <v/>
      </c>
      <c r="O42" s="29">
        <f>'Thang_05'!O42+H42</f>
        <v/>
      </c>
      <c r="P42" s="29">
        <f>'Thang_05'!P42+I42</f>
        <v/>
      </c>
      <c r="Q42" s="29">
        <f>'Thang_05'!Q42+J42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'Thang_05'!K43+D43</f>
        <v/>
      </c>
      <c r="L43" s="30">
        <f>IF(K43&gt;0, M43/K43, 0)</f>
        <v/>
      </c>
      <c r="M43" s="29">
        <f>'Thang_05'!M43+F43</f>
        <v/>
      </c>
      <c r="N43" s="29">
        <f>'Thang_05'!N43+G43</f>
        <v/>
      </c>
      <c r="O43" s="29">
        <f>'Thang_05'!O43+H43</f>
        <v/>
      </c>
      <c r="P43" s="29">
        <f>'Thang_05'!P43+I43</f>
        <v/>
      </c>
      <c r="Q43" s="29">
        <f>'Thang_05'!Q43+J43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'Thang_05'!K44+D44</f>
        <v/>
      </c>
      <c r="L44" s="30">
        <f>IF(K44&gt;0, M44/K44, 0)</f>
        <v/>
      </c>
      <c r="M44" s="29">
        <f>'Thang_05'!M44+F44</f>
        <v/>
      </c>
      <c r="N44" s="29">
        <f>'Thang_05'!N44+G44</f>
        <v/>
      </c>
      <c r="O44" s="29">
        <f>'Thang_05'!O44+H44</f>
        <v/>
      </c>
      <c r="P44" s="29">
        <f>'Thang_05'!P44+I44</f>
        <v/>
      </c>
      <c r="Q44" s="29">
        <f>'Thang_05'!Q44+J44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'Thang_05'!Q45+J45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07/2026 VÀ LŨY KẾ 7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07</t>
        </is>
      </c>
      <c r="K5" s="10" t="inlineStr">
        <is>
          <t>LŨY KẾ 7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 t="n">
        <v>41454</v>
      </c>
      <c r="E7" s="15" t="n">
        <v>0.1464273652723501</v>
      </c>
      <c r="F7" s="14" t="n">
        <v>6070</v>
      </c>
      <c r="G7" s="14" t="n">
        <v>5</v>
      </c>
      <c r="H7" s="14" t="n">
        <v>6865</v>
      </c>
      <c r="I7" s="14" t="n">
        <v>1095</v>
      </c>
      <c r="J7" s="38" t="n">
        <v>-89</v>
      </c>
      <c r="K7" s="14" t="n">
        <v>197473</v>
      </c>
      <c r="L7" s="15" t="n">
        <v>0.227788102677328</v>
      </c>
      <c r="M7" s="14" t="n">
        <v>44982</v>
      </c>
      <c r="N7" s="14" t="n">
        <v>335</v>
      </c>
      <c r="O7" s="14" t="n">
        <v>49241</v>
      </c>
      <c r="P7" s="14" t="n">
        <v>7731</v>
      </c>
      <c r="Q7" s="38" t="n">
        <v>-234</v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 t="n">
        <v>8804</v>
      </c>
      <c r="E8" s="20" t="n">
        <v>0.17810086324398</v>
      </c>
      <c r="F8" s="19" t="n">
        <v>1568</v>
      </c>
      <c r="G8" s="19" t="n">
        <v>5</v>
      </c>
      <c r="H8" s="19" t="n">
        <v>1341</v>
      </c>
      <c r="I8" s="19" t="n">
        <v>8</v>
      </c>
      <c r="J8" s="19" t="n">
        <v>245</v>
      </c>
      <c r="K8" s="19" t="n">
        <v>66583</v>
      </c>
      <c r="L8" s="20" t="n">
        <v>0.1514200321403361</v>
      </c>
      <c r="M8" s="19" t="n">
        <v>10082</v>
      </c>
      <c r="N8" s="19" t="n">
        <v>335</v>
      </c>
      <c r="O8" s="19" t="n">
        <v>12453</v>
      </c>
      <c r="P8" s="19" t="n">
        <v>57</v>
      </c>
      <c r="Q8" s="19" t="n">
        <v>2376</v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 t="n">
        <v>2578</v>
      </c>
      <c r="E9" s="25" t="n">
        <v>0.3351435221101629</v>
      </c>
      <c r="F9" s="24" t="n">
        <v>864</v>
      </c>
      <c r="G9" s="24" t="inlineStr"/>
      <c r="H9" s="24" t="n">
        <v>798</v>
      </c>
      <c r="I9" s="24" t="n">
        <v>1</v>
      </c>
      <c r="J9" s="24" t="n">
        <v>67</v>
      </c>
      <c r="K9" s="24" t="n">
        <v>16145.6</v>
      </c>
      <c r="L9" s="25" t="n">
        <v>0.355948369834506</v>
      </c>
      <c r="M9" s="24" t="n">
        <v>5747</v>
      </c>
      <c r="N9" s="24" t="n">
        <v>54</v>
      </c>
      <c r="O9" s="24" t="n">
        <v>5516</v>
      </c>
      <c r="P9" s="24" t="n">
        <v>1</v>
      </c>
      <c r="Q9" s="24" t="n">
        <v>286</v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29" t="n">
        <v>1346</v>
      </c>
      <c r="E10" s="30" t="n">
        <v>0.2581723625557207</v>
      </c>
      <c r="F10" s="29" t="n">
        <v>347.5</v>
      </c>
      <c r="G10" s="29" t="inlineStr"/>
      <c r="H10" s="29" t="n">
        <v>260.5</v>
      </c>
      <c r="I10" s="29" t="inlineStr"/>
      <c r="J10" s="29" t="n">
        <v>87</v>
      </c>
      <c r="K10" s="29" t="n">
        <v>8304.5</v>
      </c>
      <c r="L10" s="30" t="n">
        <v>0.330567764465049</v>
      </c>
      <c r="M10" s="29" t="n">
        <v>2745.2</v>
      </c>
      <c r="N10" s="29" t="n">
        <v>53</v>
      </c>
      <c r="O10" s="29" t="n">
        <v>2000</v>
      </c>
      <c r="P10" s="29" t="inlineStr"/>
      <c r="Q10" s="29" t="n">
        <v>798.2</v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29" t="n">
        <v>292</v>
      </c>
      <c r="E11" s="30" t="n">
        <v>0.4955479452054794</v>
      </c>
      <c r="F11" s="29" t="n">
        <v>144.7</v>
      </c>
      <c r="G11" s="29" t="inlineStr"/>
      <c r="H11" s="29" t="n">
        <v>89.09999999999999</v>
      </c>
      <c r="I11" s="29" t="inlineStr"/>
      <c r="J11" s="29" t="n">
        <v>55.6</v>
      </c>
      <c r="K11" s="29" t="n">
        <v>2054.6</v>
      </c>
      <c r="L11" s="30" t="n">
        <v>0.5149420811836855</v>
      </c>
      <c r="M11" s="29" t="n">
        <v>1058</v>
      </c>
      <c r="N11" s="29" t="inlineStr"/>
      <c r="O11" s="29" t="n">
        <v>600</v>
      </c>
      <c r="P11" s="29" t="inlineStr"/>
      <c r="Q11" s="29" t="n">
        <v>458</v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29" t="n">
        <v>605</v>
      </c>
      <c r="E12" s="30" t="n">
        <v>0.3819834710743801</v>
      </c>
      <c r="F12" s="29" t="n">
        <v>231.1</v>
      </c>
      <c r="G12" s="29" t="inlineStr"/>
      <c r="H12" s="29" t="n">
        <v>172.7</v>
      </c>
      <c r="I12" s="29" t="inlineStr"/>
      <c r="J12" s="29" t="n">
        <v>58.4</v>
      </c>
      <c r="K12" s="29" t="n">
        <v>3654.1</v>
      </c>
      <c r="L12" s="30" t="n">
        <v>0.3262910155715498</v>
      </c>
      <c r="M12" s="29" t="n">
        <v>1192.3</v>
      </c>
      <c r="N12" s="29" t="inlineStr"/>
      <c r="O12" s="29" t="n">
        <v>900</v>
      </c>
      <c r="P12" s="29" t="inlineStr"/>
      <c r="Q12" s="29" t="n">
        <v>292.3</v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29" t="n">
        <v>233</v>
      </c>
      <c r="E13" s="30" t="n">
        <v>0.6051502145922747</v>
      </c>
      <c r="F13" s="29" t="n">
        <v>141</v>
      </c>
      <c r="G13" s="29" t="inlineStr"/>
      <c r="H13" s="29" t="n">
        <v>81.59999999999999</v>
      </c>
      <c r="I13" s="29" t="inlineStr"/>
      <c r="J13" s="29" t="n">
        <v>59.4</v>
      </c>
      <c r="K13" s="29" t="n">
        <v>1459.2</v>
      </c>
      <c r="L13" s="30" t="n">
        <v>0.5054824561403509</v>
      </c>
      <c r="M13" s="29" t="n">
        <v>737.6</v>
      </c>
      <c r="N13" s="29" t="inlineStr"/>
      <c r="O13" s="29" t="n">
        <v>450</v>
      </c>
      <c r="P13" s="29" t="inlineStr"/>
      <c r="Q13" s="29" t="n">
        <v>287.6</v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29" t="n">
        <v>102</v>
      </c>
      <c r="E14" s="30" t="n">
        <v>-0.005882352941176471</v>
      </c>
      <c r="F14" s="31" t="n">
        <v>-0.6</v>
      </c>
      <c r="G14" s="29" t="n">
        <v>1</v>
      </c>
      <c r="H14" s="29" t="n">
        <v>2.4</v>
      </c>
      <c r="I14" s="29" t="inlineStr"/>
      <c r="J14" s="31" t="n">
        <v>-2</v>
      </c>
      <c r="K14" s="29" t="n">
        <v>673.4</v>
      </c>
      <c r="L14" s="30" t="n">
        <v>0.02093852093852094</v>
      </c>
      <c r="M14" s="29" t="n">
        <v>14.1</v>
      </c>
      <c r="N14" s="29" t="n">
        <v>1</v>
      </c>
      <c r="O14" s="29" t="n">
        <v>12</v>
      </c>
      <c r="P14" s="29" t="inlineStr"/>
      <c r="Q14" s="29" t="n">
        <v>3.1</v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29" t="n">
        <v>1139</v>
      </c>
      <c r="E15" s="30" t="n">
        <v>0.1532923617208077</v>
      </c>
      <c r="F15" s="29" t="n">
        <v>174.6</v>
      </c>
      <c r="G15" s="29" t="inlineStr"/>
      <c r="H15" s="29" t="n">
        <v>165</v>
      </c>
      <c r="I15" s="29" t="n">
        <v>10</v>
      </c>
      <c r="J15" s="29" t="n">
        <v>19.6</v>
      </c>
      <c r="K15" s="29" t="n">
        <v>12937.5</v>
      </c>
      <c r="L15" s="30" t="n">
        <v>0.0799768115942029</v>
      </c>
      <c r="M15" s="29" t="n">
        <v>1034.7</v>
      </c>
      <c r="N15" s="29" t="n">
        <v>9</v>
      </c>
      <c r="O15" s="29" t="n">
        <v>1157</v>
      </c>
      <c r="P15" s="29" t="n">
        <v>47</v>
      </c>
      <c r="Q15" s="31" t="n">
        <v>-66</v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29" t="n">
        <v>4792</v>
      </c>
      <c r="E16" s="30" t="n">
        <v>0.09872704507512521</v>
      </c>
      <c r="F16" s="29" t="n">
        <v>473.1</v>
      </c>
      <c r="G16" s="29" t="n">
        <v>5</v>
      </c>
      <c r="H16" s="29" t="n">
        <v>311</v>
      </c>
      <c r="I16" s="29" t="n">
        <v>7</v>
      </c>
      <c r="J16" s="29" t="n">
        <v>178</v>
      </c>
      <c r="K16" s="29" t="n">
        <v>35000</v>
      </c>
      <c r="L16" s="30" t="n">
        <v>0.06500285714285714</v>
      </c>
      <c r="M16" s="29" t="n">
        <v>2275.1</v>
      </c>
      <c r="N16" s="29" t="n">
        <v>271</v>
      </c>
      <c r="O16" s="29" t="n">
        <v>2438</v>
      </c>
      <c r="P16" s="29" t="n">
        <v>10</v>
      </c>
      <c r="Q16" s="29" t="n">
        <v>119</v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29" t="n">
        <v>295</v>
      </c>
      <c r="E17" s="30" t="n">
        <v>0.1901694915254237</v>
      </c>
      <c r="F17" s="29" t="n">
        <v>56.1</v>
      </c>
      <c r="G17" s="29" t="inlineStr"/>
      <c r="H17" s="29" t="n">
        <v>67</v>
      </c>
      <c r="I17" s="29" t="inlineStr"/>
      <c r="J17" s="31" t="n">
        <v>-10</v>
      </c>
      <c r="K17" s="29" t="n">
        <v>2500</v>
      </c>
      <c r="L17" s="30" t="n">
        <v>0.41</v>
      </c>
      <c r="M17" s="29" t="n">
        <v>1025</v>
      </c>
      <c r="N17" s="29" t="inlineStr"/>
      <c r="O17" s="29" t="n">
        <v>3342</v>
      </c>
      <c r="P17" s="29" t="inlineStr"/>
      <c r="Q17" s="29" t="n">
        <v>2038</v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 t="n">
        <v>6848</v>
      </c>
      <c r="E18" s="20" t="n">
        <v>0.2029789719626168</v>
      </c>
      <c r="F18" s="19" t="n">
        <v>1390</v>
      </c>
      <c r="G18" s="19" t="n">
        <v>0</v>
      </c>
      <c r="H18" s="19" t="n">
        <v>983</v>
      </c>
      <c r="I18" s="19" t="n">
        <v>7</v>
      </c>
      <c r="J18" s="19" t="n">
        <v>382</v>
      </c>
      <c r="K18" s="19" t="n">
        <v>40294</v>
      </c>
      <c r="L18" s="20" t="n">
        <v>0.2124882116444136</v>
      </c>
      <c r="M18" s="19" t="n">
        <v>8562</v>
      </c>
      <c r="N18" s="19" t="n">
        <v>0</v>
      </c>
      <c r="O18" s="19" t="n">
        <v>6903</v>
      </c>
      <c r="P18" s="19" t="n">
        <v>13</v>
      </c>
      <c r="Q18" s="19" t="n">
        <v>1672</v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29" t="n">
        <v>1565</v>
      </c>
      <c r="E19" s="30" t="n">
        <v>0.5904153354632588</v>
      </c>
      <c r="F19" s="29" t="n">
        <v>924</v>
      </c>
      <c r="G19" s="29" t="inlineStr"/>
      <c r="H19" s="29" t="n">
        <v>653</v>
      </c>
      <c r="I19" s="29" t="inlineStr"/>
      <c r="J19" s="29" t="n">
        <v>271</v>
      </c>
      <c r="K19" s="29" t="n">
        <v>10876</v>
      </c>
      <c r="L19" s="30" t="n">
        <v>0.5778778962853991</v>
      </c>
      <c r="M19" s="29" t="n">
        <v>6285</v>
      </c>
      <c r="N19" s="29" t="inlineStr"/>
      <c r="O19" s="29" t="n">
        <v>4513</v>
      </c>
      <c r="P19" s="29" t="n">
        <v>11.4</v>
      </c>
      <c r="Q19" s="29" t="n">
        <v>1783</v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29" t="n">
        <v>1991</v>
      </c>
      <c r="E20" s="30" t="n">
        <v>0.07584128578603717</v>
      </c>
      <c r="F20" s="29" t="n">
        <v>151</v>
      </c>
      <c r="G20" s="29" t="inlineStr"/>
      <c r="H20" s="29" t="n">
        <v>144</v>
      </c>
      <c r="I20" s="29" t="n">
        <v>7</v>
      </c>
      <c r="J20" s="29" t="n">
        <v>14</v>
      </c>
      <c r="K20" s="29" t="n">
        <v>12624</v>
      </c>
      <c r="L20" s="30" t="n">
        <v>0.07683776932826362</v>
      </c>
      <c r="M20" s="29" t="n">
        <v>970</v>
      </c>
      <c r="N20" s="29" t="inlineStr"/>
      <c r="O20" s="29" t="n">
        <v>1022</v>
      </c>
      <c r="P20" s="29" t="n">
        <v>1.5</v>
      </c>
      <c r="Q20" s="31" t="n">
        <v>-51</v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29" t="n">
        <v>3135</v>
      </c>
      <c r="E21" s="30" t="n">
        <v>0.06730462519936205</v>
      </c>
      <c r="F21" s="29" t="n">
        <v>211</v>
      </c>
      <c r="G21" s="29" t="inlineStr"/>
      <c r="H21" s="29" t="n">
        <v>149</v>
      </c>
      <c r="I21" s="29" t="inlineStr"/>
      <c r="J21" s="29" t="n">
        <v>62</v>
      </c>
      <c r="K21" s="29" t="n">
        <v>16138</v>
      </c>
      <c r="L21" s="30" t="n">
        <v>0.06184161606146982</v>
      </c>
      <c r="M21" s="29" t="n">
        <v>998</v>
      </c>
      <c r="N21" s="29" t="inlineStr"/>
      <c r="O21" s="29" t="n">
        <v>1116</v>
      </c>
      <c r="P21" s="29" t="inlineStr"/>
      <c r="Q21" s="31" t="n">
        <v>-118</v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29" t="n">
        <v>157</v>
      </c>
      <c r="E22" s="30" t="n">
        <v>0.497452229299363</v>
      </c>
      <c r="F22" s="29" t="n">
        <v>78.09999999999999</v>
      </c>
      <c r="G22" s="29" t="inlineStr"/>
      <c r="H22" s="29" t="n">
        <v>37</v>
      </c>
      <c r="I22" s="29" t="inlineStr"/>
      <c r="J22" s="29" t="n">
        <v>42</v>
      </c>
      <c r="K22" s="29" t="n">
        <v>656</v>
      </c>
      <c r="L22" s="30" t="n">
        <v>0.4725609756097561</v>
      </c>
      <c r="M22" s="29" t="n">
        <v>310</v>
      </c>
      <c r="N22" s="29" t="inlineStr"/>
      <c r="O22" s="29" t="n">
        <v>252</v>
      </c>
      <c r="P22" s="29" t="inlineStr"/>
      <c r="Q22" s="29" t="n">
        <v>58</v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n">
        <v>524</v>
      </c>
      <c r="E23" s="20" t="n">
        <v>0.3740458015267176</v>
      </c>
      <c r="F23" s="19" t="n">
        <v>196</v>
      </c>
      <c r="G23" s="19" t="inlineStr"/>
      <c r="H23" s="19" t="n">
        <v>87</v>
      </c>
      <c r="I23" s="19" t="n">
        <v>4</v>
      </c>
      <c r="J23" s="19" t="n">
        <v>113</v>
      </c>
      <c r="K23" s="19" t="n">
        <v>2915</v>
      </c>
      <c r="L23" s="20" t="n">
        <v>0.3526586620926244</v>
      </c>
      <c r="M23" s="19" t="n">
        <v>1028</v>
      </c>
      <c r="N23" s="19" t="inlineStr"/>
      <c r="O23" s="19" t="n">
        <v>859</v>
      </c>
      <c r="P23" s="32" t="n">
        <v>-4</v>
      </c>
      <c r="Q23" s="19" t="n">
        <v>165</v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 t="n">
        <v>14951</v>
      </c>
      <c r="E24" s="20" t="n">
        <v>0.03116848371346398</v>
      </c>
      <c r="F24" s="19" t="n">
        <v>466</v>
      </c>
      <c r="G24" s="19" t="n">
        <v>0</v>
      </c>
      <c r="H24" s="19" t="n">
        <v>2327</v>
      </c>
      <c r="I24" s="19" t="n">
        <v>1033</v>
      </c>
      <c r="J24" s="32" t="n">
        <v>-828</v>
      </c>
      <c r="K24" s="19" t="n">
        <v>16633</v>
      </c>
      <c r="L24" s="20" t="n">
        <v>0.1375578668911201</v>
      </c>
      <c r="M24" s="19" t="n">
        <v>2288</v>
      </c>
      <c r="N24" s="19" t="n">
        <v>0</v>
      </c>
      <c r="O24" s="19" t="n">
        <v>14400</v>
      </c>
      <c r="P24" s="19" t="n">
        <v>7665</v>
      </c>
      <c r="Q24" s="32" t="n">
        <v>-4447</v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29" t="n">
        <v>14951</v>
      </c>
      <c r="E25" s="30" t="n">
        <v>0.03116848371346398</v>
      </c>
      <c r="F25" s="29" t="n">
        <v>466</v>
      </c>
      <c r="G25" s="29" t="inlineStr"/>
      <c r="H25" s="29" t="n">
        <v>748</v>
      </c>
      <c r="I25" s="29" t="n">
        <v>419</v>
      </c>
      <c r="J25" s="29" t="n">
        <v>137</v>
      </c>
      <c r="K25" s="29" t="n">
        <v>16633</v>
      </c>
      <c r="L25" s="30" t="n">
        <v>0.1375578668911201</v>
      </c>
      <c r="M25" s="29" t="n">
        <v>2288</v>
      </c>
      <c r="N25" s="29" t="inlineStr"/>
      <c r="O25" s="29" t="n">
        <v>4673</v>
      </c>
      <c r="P25" s="29" t="n">
        <v>2732</v>
      </c>
      <c r="Q25" s="29" t="n">
        <v>347</v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29" t="inlineStr"/>
      <c r="E26" s="30" t="inlineStr"/>
      <c r="F26" s="29" t="inlineStr"/>
      <c r="G26" s="29" t="inlineStr"/>
      <c r="H26" s="29" t="n">
        <v>1579</v>
      </c>
      <c r="I26" s="29" t="n">
        <v>614</v>
      </c>
      <c r="J26" s="31" t="n">
        <v>-965</v>
      </c>
      <c r="K26" s="29" t="inlineStr"/>
      <c r="L26" s="30" t="inlineStr"/>
      <c r="M26" s="29" t="inlineStr"/>
      <c r="N26" s="29" t="inlineStr"/>
      <c r="O26" s="29" t="n">
        <v>9727</v>
      </c>
      <c r="P26" s="29" t="n">
        <v>4933</v>
      </c>
      <c r="Q26" s="31" t="n">
        <v>-4794</v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 t="n">
        <v>10326</v>
      </c>
      <c r="E27" s="20" t="n">
        <v>0.2820065853186132</v>
      </c>
      <c r="F27" s="19" t="n">
        <v>2912</v>
      </c>
      <c r="G27" s="19" t="n">
        <v>0</v>
      </c>
      <c r="H27" s="19" t="n">
        <v>2129</v>
      </c>
      <c r="I27" s="19" t="n">
        <v>51</v>
      </c>
      <c r="J27" s="19" t="n">
        <v>834</v>
      </c>
      <c r="K27" s="19" t="n">
        <v>69425</v>
      </c>
      <c r="L27" s="20" t="n">
        <v>0.2688800864241987</v>
      </c>
      <c r="M27" s="19" t="n">
        <v>18667</v>
      </c>
      <c r="N27" s="19" t="n">
        <v>0</v>
      </c>
      <c r="O27" s="19" t="n">
        <v>14626</v>
      </c>
      <c r="P27" s="19" t="n">
        <v>226</v>
      </c>
      <c r="Q27" s="19" t="n">
        <v>4267</v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 t="n">
        <v>7182</v>
      </c>
      <c r="E28" s="25" t="n">
        <v>0.1626287942077416</v>
      </c>
      <c r="F28" s="24" t="n">
        <v>1168</v>
      </c>
      <c r="G28" s="24" t="inlineStr"/>
      <c r="H28" s="24" t="n">
        <v>850</v>
      </c>
      <c r="I28" s="24" t="inlineStr"/>
      <c r="J28" s="24" t="n">
        <v>318</v>
      </c>
      <c r="K28" s="24" t="n">
        <v>48562</v>
      </c>
      <c r="L28" s="25" t="n">
        <v>0.1468020262756888</v>
      </c>
      <c r="M28" s="24" t="n">
        <v>7129</v>
      </c>
      <c r="N28" s="24" t="inlineStr"/>
      <c r="O28" s="24" t="n">
        <v>5542</v>
      </c>
      <c r="P28" s="24" t="n">
        <v>100</v>
      </c>
      <c r="Q28" s="24" t="n">
        <v>1687</v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29" t="n">
        <v>191</v>
      </c>
      <c r="E29" s="30" t="n">
        <v>0.256544502617801</v>
      </c>
      <c r="F29" s="29" t="n">
        <v>49</v>
      </c>
      <c r="G29" s="29" t="inlineStr"/>
      <c r="H29" s="29" t="n">
        <v>71</v>
      </c>
      <c r="I29" s="29" t="inlineStr"/>
      <c r="J29" s="31" t="n">
        <v>-22</v>
      </c>
      <c r="K29" s="29" t="n">
        <v>3397</v>
      </c>
      <c r="L29" s="30" t="n">
        <v>0.2287312334412717</v>
      </c>
      <c r="M29" s="29" t="n">
        <v>777</v>
      </c>
      <c r="N29" s="29" t="inlineStr"/>
      <c r="O29" s="29" t="n">
        <v>601</v>
      </c>
      <c r="P29" s="29" t="inlineStr"/>
      <c r="Q29" s="29" t="n">
        <v>176</v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29" t="n">
        <v>4032</v>
      </c>
      <c r="E30" s="30" t="n">
        <v>0.1711309523809524</v>
      </c>
      <c r="F30" s="29" t="n">
        <v>690</v>
      </c>
      <c r="G30" s="29" t="inlineStr"/>
      <c r="H30" s="29" t="n">
        <v>479</v>
      </c>
      <c r="I30" s="29" t="inlineStr"/>
      <c r="J30" s="29" t="n">
        <v>211</v>
      </c>
      <c r="K30" s="29" t="n">
        <v>22834</v>
      </c>
      <c r="L30" s="30" t="n">
        <v>0.1632215117806779</v>
      </c>
      <c r="M30" s="29" t="n">
        <v>3727</v>
      </c>
      <c r="N30" s="29" t="inlineStr"/>
      <c r="O30" s="29" t="n">
        <v>3151</v>
      </c>
      <c r="P30" s="29" t="n">
        <v>100</v>
      </c>
      <c r="Q30" s="29" t="n">
        <v>676</v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29" t="n">
        <v>2539</v>
      </c>
      <c r="E31" s="30" t="n">
        <v>0.0531705395825128</v>
      </c>
      <c r="F31" s="29" t="n">
        <v>135</v>
      </c>
      <c r="G31" s="29" t="inlineStr"/>
      <c r="H31" s="29" t="n">
        <v>129</v>
      </c>
      <c r="I31" s="29" t="inlineStr"/>
      <c r="J31" s="29" t="n">
        <v>6</v>
      </c>
      <c r="K31" s="29" t="n">
        <v>19679</v>
      </c>
      <c r="L31" s="30" t="n">
        <v>0.03907718888154886</v>
      </c>
      <c r="M31" s="29" t="n">
        <v>769</v>
      </c>
      <c r="N31" s="29" t="inlineStr"/>
      <c r="O31" s="29" t="n">
        <v>741</v>
      </c>
      <c r="P31" s="29" t="inlineStr"/>
      <c r="Q31" s="29" t="n">
        <v>28</v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29" t="n">
        <v>420</v>
      </c>
      <c r="E32" s="30" t="n">
        <v>0.7</v>
      </c>
      <c r="F32" s="29" t="n">
        <v>294</v>
      </c>
      <c r="G32" s="29" t="inlineStr"/>
      <c r="H32" s="29" t="n">
        <v>171</v>
      </c>
      <c r="I32" s="29" t="inlineStr"/>
      <c r="J32" s="29" t="n">
        <v>123</v>
      </c>
      <c r="K32" s="29" t="n">
        <v>2653</v>
      </c>
      <c r="L32" s="30" t="n">
        <v>0.6995853750471165</v>
      </c>
      <c r="M32" s="29" t="n">
        <v>1856</v>
      </c>
      <c r="N32" s="29" t="inlineStr"/>
      <c r="O32" s="29" t="n">
        <v>1049</v>
      </c>
      <c r="P32" s="29" t="inlineStr"/>
      <c r="Q32" s="29" t="n">
        <v>807</v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 t="n">
        <v>3144</v>
      </c>
      <c r="E33" s="25" t="n">
        <v>0.55470737913486</v>
      </c>
      <c r="F33" s="24" t="n">
        <v>1744</v>
      </c>
      <c r="G33" s="24" t="inlineStr"/>
      <c r="H33" s="24" t="n">
        <v>1279</v>
      </c>
      <c r="I33" s="24" t="inlineStr"/>
      <c r="J33" s="24" t="n">
        <v>465</v>
      </c>
      <c r="K33" s="24" t="n">
        <v>20863</v>
      </c>
      <c r="L33" s="25" t="n">
        <v>0.5530364760580933</v>
      </c>
      <c r="M33" s="24" t="n">
        <v>11538</v>
      </c>
      <c r="N33" s="24" t="inlineStr"/>
      <c r="O33" s="24" t="n">
        <v>9084</v>
      </c>
      <c r="P33" s="24" t="n">
        <v>126</v>
      </c>
      <c r="Q33" s="24" t="n">
        <v>2580</v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29" t="n">
        <v>1502</v>
      </c>
      <c r="E34" s="30" t="n">
        <v>0.6617842876165113</v>
      </c>
      <c r="F34" s="29" t="n">
        <v>994</v>
      </c>
      <c r="G34" s="29" t="inlineStr"/>
      <c r="H34" s="29" t="n">
        <v>776</v>
      </c>
      <c r="I34" s="29" t="inlineStr"/>
      <c r="J34" s="29" t="n">
        <v>218</v>
      </c>
      <c r="K34" s="29" t="n">
        <v>10358</v>
      </c>
      <c r="L34" s="30" t="n">
        <v>0.6717513033404132</v>
      </c>
      <c r="M34" s="29" t="n">
        <v>6958</v>
      </c>
      <c r="N34" s="29" t="inlineStr"/>
      <c r="O34" s="29" t="n">
        <v>5723</v>
      </c>
      <c r="P34" s="29" t="n">
        <v>6</v>
      </c>
      <c r="Q34" s="29" t="n">
        <v>1241</v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29" t="n">
        <v>278</v>
      </c>
      <c r="E35" s="30" t="n">
        <v>0.5899280575539568</v>
      </c>
      <c r="F35" s="29" t="n">
        <v>164</v>
      </c>
      <c r="G35" s="29" t="inlineStr"/>
      <c r="H35" s="29" t="inlineStr"/>
      <c r="I35" s="29" t="inlineStr"/>
      <c r="J35" s="29" t="n">
        <v>164</v>
      </c>
      <c r="K35" s="29" t="n">
        <v>1869</v>
      </c>
      <c r="L35" s="30" t="n">
        <v>0.5960406634563938</v>
      </c>
      <c r="M35" s="29" t="n">
        <v>1114</v>
      </c>
      <c r="N35" s="29" t="inlineStr"/>
      <c r="O35" s="29" t="inlineStr"/>
      <c r="P35" s="29" t="inlineStr"/>
      <c r="Q35" s="29" t="n">
        <v>1114</v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29" t="n">
        <v>1364</v>
      </c>
      <c r="E36" s="30" t="n">
        <v>0.4296187683284458</v>
      </c>
      <c r="F36" s="29" t="n">
        <v>586</v>
      </c>
      <c r="G36" s="29" t="inlineStr"/>
      <c r="H36" s="29" t="n">
        <v>503</v>
      </c>
      <c r="I36" s="29" t="inlineStr"/>
      <c r="J36" s="29" t="n">
        <v>83</v>
      </c>
      <c r="K36" s="29" t="n">
        <v>8636</v>
      </c>
      <c r="L36" s="30" t="n">
        <v>0.4013432144511348</v>
      </c>
      <c r="M36" s="29" t="n">
        <v>3466</v>
      </c>
      <c r="N36" s="29" t="inlineStr"/>
      <c r="O36" s="29" t="n">
        <v>3361</v>
      </c>
      <c r="P36" s="29" t="n">
        <v>120</v>
      </c>
      <c r="Q36" s="29" t="n">
        <v>225</v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 t="n">
        <v>1674</v>
      </c>
      <c r="E37" s="15" t="n">
        <v>0.1427718040621266</v>
      </c>
      <c r="F37" s="14" t="n">
        <v>239</v>
      </c>
      <c r="G37" s="14" t="n">
        <v>0</v>
      </c>
      <c r="H37" s="14" t="n">
        <v>220</v>
      </c>
      <c r="I37" s="14" t="n">
        <v>66</v>
      </c>
      <c r="J37" s="14" t="n">
        <v>85</v>
      </c>
      <c r="K37" s="14" t="n">
        <v>11251</v>
      </c>
      <c r="L37" s="15" t="n">
        <v>0.2014932006043907</v>
      </c>
      <c r="M37" s="14" t="n">
        <v>2267</v>
      </c>
      <c r="N37" s="14" t="n">
        <v>0</v>
      </c>
      <c r="O37" s="14" t="n">
        <v>1515</v>
      </c>
      <c r="P37" s="14" t="n">
        <v>76</v>
      </c>
      <c r="Q37" s="14" t="n">
        <v>828</v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29" t="n">
        <v>993</v>
      </c>
      <c r="E38" s="30" t="n">
        <v>0.04934541792547835</v>
      </c>
      <c r="F38" s="29" t="n">
        <v>49</v>
      </c>
      <c r="G38" s="29" t="inlineStr"/>
      <c r="H38" s="29" t="n">
        <v>40</v>
      </c>
      <c r="I38" s="29" t="inlineStr"/>
      <c r="J38" s="29" t="n">
        <v>9</v>
      </c>
      <c r="K38" s="29" t="n">
        <v>5840</v>
      </c>
      <c r="L38" s="30" t="n">
        <v>0.08493150684931507</v>
      </c>
      <c r="M38" s="29" t="n">
        <v>496</v>
      </c>
      <c r="N38" s="29" t="inlineStr"/>
      <c r="O38" s="29" t="n">
        <v>320</v>
      </c>
      <c r="P38" s="29" t="inlineStr"/>
      <c r="Q38" s="29" t="n">
        <v>176</v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29" t="n">
        <v>231</v>
      </c>
      <c r="E39" s="30" t="n">
        <v>0.1428571428571428</v>
      </c>
      <c r="F39" s="29" t="n">
        <v>33</v>
      </c>
      <c r="G39" s="29" t="inlineStr"/>
      <c r="H39" s="29" t="n">
        <v>25</v>
      </c>
      <c r="I39" s="29" t="inlineStr"/>
      <c r="J39" s="29" t="n">
        <v>8</v>
      </c>
      <c r="K39" s="29" t="n">
        <v>1788</v>
      </c>
      <c r="L39" s="30" t="n">
        <v>0.1498881431767338</v>
      </c>
      <c r="M39" s="29" t="n">
        <v>268</v>
      </c>
      <c r="N39" s="29" t="inlineStr"/>
      <c r="O39" s="29" t="n">
        <v>180</v>
      </c>
      <c r="P39" s="29" t="inlineStr"/>
      <c r="Q39" s="29" t="n">
        <v>88</v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29" t="n">
        <v>93</v>
      </c>
      <c r="E40" s="30" t="n">
        <v>0.02150537634408602</v>
      </c>
      <c r="F40" s="29" t="n">
        <v>2</v>
      </c>
      <c r="G40" s="29" t="inlineStr"/>
      <c r="H40" s="29" t="n">
        <v>5</v>
      </c>
      <c r="I40" s="29" t="inlineStr"/>
      <c r="J40" s="31" t="n">
        <v>-3</v>
      </c>
      <c r="K40" s="29" t="n">
        <v>806</v>
      </c>
      <c r="L40" s="30" t="n">
        <v>0.05583126550868486</v>
      </c>
      <c r="M40" s="29" t="n">
        <v>45</v>
      </c>
      <c r="N40" s="29" t="inlineStr"/>
      <c r="O40" s="29" t="n">
        <v>35</v>
      </c>
      <c r="P40" s="29" t="inlineStr"/>
      <c r="Q40" s="29" t="n">
        <v>10</v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29" t="n">
        <v>225</v>
      </c>
      <c r="E41" s="30" t="n">
        <v>0.4311111111111111</v>
      </c>
      <c r="F41" s="29" t="n">
        <v>97</v>
      </c>
      <c r="G41" s="29" t="inlineStr"/>
      <c r="H41" s="29" t="n">
        <v>30</v>
      </c>
      <c r="I41" s="29" t="inlineStr"/>
      <c r="J41" s="29" t="n">
        <v>67</v>
      </c>
      <c r="K41" s="29" t="n">
        <v>1467</v>
      </c>
      <c r="L41" s="30" t="n">
        <v>0.4907975460122699</v>
      </c>
      <c r="M41" s="29" t="n">
        <v>720</v>
      </c>
      <c r="N41" s="29" t="inlineStr"/>
      <c r="O41" s="29" t="n">
        <v>450</v>
      </c>
      <c r="P41" s="29" t="inlineStr"/>
      <c r="Q41" s="29" t="n">
        <v>270</v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29" t="n">
        <v>81</v>
      </c>
      <c r="E42" s="30" t="n">
        <v>0.2469135802469136</v>
      </c>
      <c r="F42" s="29" t="n">
        <v>20</v>
      </c>
      <c r="G42" s="29" t="inlineStr"/>
      <c r="H42" s="29" t="n">
        <v>18</v>
      </c>
      <c r="I42" s="29" t="inlineStr"/>
      <c r="J42" s="29" t="n">
        <v>2</v>
      </c>
      <c r="K42" s="29" t="n">
        <v>623</v>
      </c>
      <c r="L42" s="30" t="n">
        <v>0.6452648475120385</v>
      </c>
      <c r="M42" s="29" t="n">
        <v>402</v>
      </c>
      <c r="N42" s="29" t="inlineStr"/>
      <c r="O42" s="29" t="n">
        <v>260</v>
      </c>
      <c r="P42" s="29" t="inlineStr"/>
      <c r="Q42" s="29" t="n">
        <v>142</v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29" t="n">
        <v>46</v>
      </c>
      <c r="E43" s="30" t="n">
        <v>0.7826086956521739</v>
      </c>
      <c r="F43" s="29" t="n">
        <v>36</v>
      </c>
      <c r="G43" s="29" t="inlineStr"/>
      <c r="H43" s="29" t="n">
        <v>28</v>
      </c>
      <c r="I43" s="29" t="inlineStr"/>
      <c r="J43" s="29" t="n">
        <v>8</v>
      </c>
      <c r="K43" s="29" t="n">
        <v>424</v>
      </c>
      <c r="L43" s="30" t="n">
        <v>0.6674528301886793</v>
      </c>
      <c r="M43" s="29" t="n">
        <v>283</v>
      </c>
      <c r="N43" s="29" t="inlineStr"/>
      <c r="O43" s="29" t="n">
        <v>190</v>
      </c>
      <c r="P43" s="29" t="inlineStr"/>
      <c r="Q43" s="29" t="n">
        <v>93</v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29" t="n">
        <v>5</v>
      </c>
      <c r="E44" s="30" t="n">
        <v>0.2</v>
      </c>
      <c r="F44" s="29" t="n">
        <v>1</v>
      </c>
      <c r="G44" s="29" t="inlineStr"/>
      <c r="H44" s="29" t="n">
        <v>2</v>
      </c>
      <c r="I44" s="29" t="inlineStr"/>
      <c r="J44" s="31" t="n">
        <v>-1</v>
      </c>
      <c r="K44" s="29" t="n">
        <v>304</v>
      </c>
      <c r="L44" s="30" t="n">
        <v>0.1710526315789474</v>
      </c>
      <c r="M44" s="29" t="n">
        <v>52</v>
      </c>
      <c r="N44" s="29" t="inlineStr"/>
      <c r="O44" s="29" t="n">
        <v>40</v>
      </c>
      <c r="P44" s="29" t="inlineStr"/>
      <c r="Q44" s="29" t="n">
        <v>12</v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 t="n">
        <v>43128</v>
      </c>
      <c r="E45" s="37" t="n">
        <v>0.1462854757929883</v>
      </c>
      <c r="F45" s="36" t="n">
        <v>6309</v>
      </c>
      <c r="G45" s="36" t="n">
        <v>5</v>
      </c>
      <c r="H45" s="36" t="n">
        <v>7085</v>
      </c>
      <c r="I45" s="36" t="n">
        <v>1161</v>
      </c>
      <c r="J45" s="36" t="n">
        <v>830</v>
      </c>
      <c r="K45" s="36" t="n">
        <v>208724</v>
      </c>
      <c r="L45" s="37" t="n">
        <v>0.2263707096452732</v>
      </c>
      <c r="M45" s="36" t="n">
        <v>47249</v>
      </c>
      <c r="N45" s="36" t="n">
        <v>335</v>
      </c>
      <c r="O45" s="36" t="n">
        <v>50756</v>
      </c>
      <c r="P45" s="36" t="n">
        <v>8033</v>
      </c>
      <c r="Q45" s="36" t="n">
        <v>4861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08/2026 VÀ LŨY KẾ 8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08</t>
        </is>
      </c>
      <c r="K5" s="10" t="inlineStr">
        <is>
          <t>LŨY KẾ 8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'Thang_07'!Q7+J7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'Thang_07'!Q8+J8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'Thang_07'!Q9+J9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'Thang_07'!K10+D10</f>
        <v/>
      </c>
      <c r="L10" s="30">
        <f>IF(K10&gt;0, M10/K10, 0)</f>
        <v/>
      </c>
      <c r="M10" s="29">
        <f>'Thang_07'!M10+F10</f>
        <v/>
      </c>
      <c r="N10" s="29">
        <f>'Thang_07'!N10+G10</f>
        <v/>
      </c>
      <c r="O10" s="29">
        <f>'Thang_07'!O10+H10</f>
        <v/>
      </c>
      <c r="P10" s="29">
        <f>'Thang_07'!P10+I10</f>
        <v/>
      </c>
      <c r="Q10" s="29">
        <f>'Thang_07'!Q10+J10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'Thang_07'!K11+D11</f>
        <v/>
      </c>
      <c r="L11" s="30">
        <f>IF(K11&gt;0, M11/K11, 0)</f>
        <v/>
      </c>
      <c r="M11" s="29">
        <f>'Thang_07'!M11+F11</f>
        <v/>
      </c>
      <c r="N11" s="29">
        <f>'Thang_07'!N11+G11</f>
        <v/>
      </c>
      <c r="O11" s="29">
        <f>'Thang_07'!O11+H11</f>
        <v/>
      </c>
      <c r="P11" s="29">
        <f>'Thang_07'!P11+I11</f>
        <v/>
      </c>
      <c r="Q11" s="29">
        <f>'Thang_07'!Q11+J11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'Thang_07'!K12+D12</f>
        <v/>
      </c>
      <c r="L12" s="30">
        <f>IF(K12&gt;0, M12/K12, 0)</f>
        <v/>
      </c>
      <c r="M12" s="29">
        <f>'Thang_07'!M12+F12</f>
        <v/>
      </c>
      <c r="N12" s="29">
        <f>'Thang_07'!N12+G12</f>
        <v/>
      </c>
      <c r="O12" s="29">
        <f>'Thang_07'!O12+H12</f>
        <v/>
      </c>
      <c r="P12" s="29">
        <f>'Thang_07'!P12+I12</f>
        <v/>
      </c>
      <c r="Q12" s="29">
        <f>'Thang_07'!Q12+J12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'Thang_07'!K13+D13</f>
        <v/>
      </c>
      <c r="L13" s="30">
        <f>IF(K13&gt;0, M13/K13, 0)</f>
        <v/>
      </c>
      <c r="M13" s="29">
        <f>'Thang_07'!M13+F13</f>
        <v/>
      </c>
      <c r="N13" s="29">
        <f>'Thang_07'!N13+G13</f>
        <v/>
      </c>
      <c r="O13" s="29">
        <f>'Thang_07'!O13+H13</f>
        <v/>
      </c>
      <c r="P13" s="29">
        <f>'Thang_07'!P13+I13</f>
        <v/>
      </c>
      <c r="Q13" s="29">
        <f>'Thang_07'!Q13+J13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'Thang_07'!K14+D14</f>
        <v/>
      </c>
      <c r="L14" s="30">
        <f>IF(K14&gt;0, M14/K14, 0)</f>
        <v/>
      </c>
      <c r="M14" s="29">
        <f>'Thang_07'!M14+F14</f>
        <v/>
      </c>
      <c r="N14" s="29">
        <f>'Thang_07'!N14+G14</f>
        <v/>
      </c>
      <c r="O14" s="29">
        <f>'Thang_07'!O14+H14</f>
        <v/>
      </c>
      <c r="P14" s="29">
        <f>'Thang_07'!P14+I14</f>
        <v/>
      </c>
      <c r="Q14" s="29">
        <f>'Thang_07'!Q14+J14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'Thang_07'!K15+D15</f>
        <v/>
      </c>
      <c r="L15" s="30">
        <f>IF(K15&gt;0, M15/K15, 0)</f>
        <v/>
      </c>
      <c r="M15" s="29">
        <f>'Thang_07'!M15+F15</f>
        <v/>
      </c>
      <c r="N15" s="29">
        <f>'Thang_07'!N15+G15</f>
        <v/>
      </c>
      <c r="O15" s="29">
        <f>'Thang_07'!O15+H15</f>
        <v/>
      </c>
      <c r="P15" s="29">
        <f>'Thang_07'!P15+I15</f>
        <v/>
      </c>
      <c r="Q15" s="29">
        <f>'Thang_07'!Q15+J15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'Thang_07'!K16+D16</f>
        <v/>
      </c>
      <c r="L16" s="30">
        <f>IF(K16&gt;0, M16/K16, 0)</f>
        <v/>
      </c>
      <c r="M16" s="29">
        <f>'Thang_07'!M16+F16</f>
        <v/>
      </c>
      <c r="N16" s="29">
        <f>'Thang_07'!N16+G16</f>
        <v/>
      </c>
      <c r="O16" s="29">
        <f>'Thang_07'!O16+H16</f>
        <v/>
      </c>
      <c r="P16" s="29">
        <f>'Thang_07'!P16+I16</f>
        <v/>
      </c>
      <c r="Q16" s="29">
        <f>'Thang_07'!Q16+J16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'Thang_07'!K17+D17</f>
        <v/>
      </c>
      <c r="L17" s="30">
        <f>IF(K17&gt;0, M17/K17, 0)</f>
        <v/>
      </c>
      <c r="M17" s="29">
        <f>'Thang_07'!M17+F17</f>
        <v/>
      </c>
      <c r="N17" s="29">
        <f>'Thang_07'!N17+G17</f>
        <v/>
      </c>
      <c r="O17" s="29">
        <f>'Thang_07'!O17+H17</f>
        <v/>
      </c>
      <c r="P17" s="29">
        <f>'Thang_07'!P17+I17</f>
        <v/>
      </c>
      <c r="Q17" s="29">
        <f>'Thang_07'!Q17+J17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'Thang_07'!Q18+J18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'Thang_07'!K19+D19</f>
        <v/>
      </c>
      <c r="L19" s="30">
        <f>IF(K19&gt;0, M19/K19, 0)</f>
        <v/>
      </c>
      <c r="M19" s="29">
        <f>'Thang_07'!M19+F19</f>
        <v/>
      </c>
      <c r="N19" s="29">
        <f>'Thang_07'!N19+G19</f>
        <v/>
      </c>
      <c r="O19" s="29">
        <f>'Thang_07'!O19+H19</f>
        <v/>
      </c>
      <c r="P19" s="29">
        <f>'Thang_07'!P19+I19</f>
        <v/>
      </c>
      <c r="Q19" s="29">
        <f>'Thang_07'!Q19+J19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'Thang_07'!K20+D20</f>
        <v/>
      </c>
      <c r="L20" s="30">
        <f>IF(K20&gt;0, M20/K20, 0)</f>
        <v/>
      </c>
      <c r="M20" s="29">
        <f>'Thang_07'!M20+F20</f>
        <v/>
      </c>
      <c r="N20" s="29">
        <f>'Thang_07'!N20+G20</f>
        <v/>
      </c>
      <c r="O20" s="29">
        <f>'Thang_07'!O20+H20</f>
        <v/>
      </c>
      <c r="P20" s="29">
        <f>'Thang_07'!P20+I20</f>
        <v/>
      </c>
      <c r="Q20" s="29">
        <f>'Thang_07'!Q20+J20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'Thang_07'!K21+D21</f>
        <v/>
      </c>
      <c r="L21" s="30">
        <f>IF(K21&gt;0, M21/K21, 0)</f>
        <v/>
      </c>
      <c r="M21" s="29">
        <f>'Thang_07'!M21+F21</f>
        <v/>
      </c>
      <c r="N21" s="29">
        <f>'Thang_07'!N21+G21</f>
        <v/>
      </c>
      <c r="O21" s="29">
        <f>'Thang_07'!O21+H21</f>
        <v/>
      </c>
      <c r="P21" s="29">
        <f>'Thang_07'!P21+I21</f>
        <v/>
      </c>
      <c r="Q21" s="29">
        <f>'Thang_07'!Q21+J21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'Thang_07'!K22+D22</f>
        <v/>
      </c>
      <c r="L22" s="30">
        <f>IF(K22&gt;0, M22/K22, 0)</f>
        <v/>
      </c>
      <c r="M22" s="29">
        <f>'Thang_07'!M22+F22</f>
        <v/>
      </c>
      <c r="N22" s="29">
        <f>'Thang_07'!N22+G22</f>
        <v/>
      </c>
      <c r="O22" s="29">
        <f>'Thang_07'!O22+H22</f>
        <v/>
      </c>
      <c r="P22" s="29">
        <f>'Thang_07'!P22+I22</f>
        <v/>
      </c>
      <c r="Q22" s="29">
        <f>'Thang_07'!Q22+J22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'Thang_07'!K23+D23</f>
        <v/>
      </c>
      <c r="L23" s="20">
        <f>IF(K23&gt;0, M23/K23, 0)</f>
        <v/>
      </c>
      <c r="M23" s="19">
        <f>'Thang_07'!M23+F23</f>
        <v/>
      </c>
      <c r="N23" s="19">
        <f>'Thang_07'!N23+G23</f>
        <v/>
      </c>
      <c r="O23" s="19">
        <f>'Thang_07'!O23+H23</f>
        <v/>
      </c>
      <c r="P23" s="19">
        <f>'Thang_07'!P23+I23</f>
        <v/>
      </c>
      <c r="Q23" s="19">
        <f>'Thang_07'!Q23+J23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'Thang_07'!Q24+J24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'Thang_07'!K25+D25</f>
        <v/>
      </c>
      <c r="L25" s="30">
        <f>IF(K25&gt;0, M25/K25, 0)</f>
        <v/>
      </c>
      <c r="M25" s="29">
        <f>'Thang_07'!M25+F25</f>
        <v/>
      </c>
      <c r="N25" s="29">
        <f>'Thang_07'!N25+G25</f>
        <v/>
      </c>
      <c r="O25" s="29">
        <f>'Thang_07'!O25+H25</f>
        <v/>
      </c>
      <c r="P25" s="29">
        <f>'Thang_07'!P25+I25</f>
        <v/>
      </c>
      <c r="Q25" s="29">
        <f>'Thang_07'!Q25+J25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'Thang_07'!K26+D26</f>
        <v/>
      </c>
      <c r="L26" s="30">
        <f>IF(K26&gt;0, M26/K26, 0)</f>
        <v/>
      </c>
      <c r="M26" s="29">
        <f>'Thang_07'!M26+F26</f>
        <v/>
      </c>
      <c r="N26" s="29">
        <f>'Thang_07'!N26+G26</f>
        <v/>
      </c>
      <c r="O26" s="29">
        <f>'Thang_07'!O26+H26</f>
        <v/>
      </c>
      <c r="P26" s="29">
        <f>'Thang_07'!P26+I26</f>
        <v/>
      </c>
      <c r="Q26" s="29">
        <f>'Thang_07'!Q26+J26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'Thang_07'!Q27+J27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'Thang_07'!Q28+J28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'Thang_07'!K29+D29</f>
        <v/>
      </c>
      <c r="L29" s="30">
        <f>IF(K29&gt;0, M29/K29, 0)</f>
        <v/>
      </c>
      <c r="M29" s="29">
        <f>'Thang_07'!M29+F29</f>
        <v/>
      </c>
      <c r="N29" s="29">
        <f>'Thang_07'!N29+G29</f>
        <v/>
      </c>
      <c r="O29" s="29">
        <f>'Thang_07'!O29+H29</f>
        <v/>
      </c>
      <c r="P29" s="29">
        <f>'Thang_07'!P29+I29</f>
        <v/>
      </c>
      <c r="Q29" s="29">
        <f>'Thang_07'!Q29+J29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'Thang_07'!K30+D30</f>
        <v/>
      </c>
      <c r="L30" s="30">
        <f>IF(K30&gt;0, M30/K30, 0)</f>
        <v/>
      </c>
      <c r="M30" s="29">
        <f>'Thang_07'!M30+F30</f>
        <v/>
      </c>
      <c r="N30" s="29">
        <f>'Thang_07'!N30+G30</f>
        <v/>
      </c>
      <c r="O30" s="29">
        <f>'Thang_07'!O30+H30</f>
        <v/>
      </c>
      <c r="P30" s="29">
        <f>'Thang_07'!P30+I30</f>
        <v/>
      </c>
      <c r="Q30" s="29">
        <f>'Thang_07'!Q30+J30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'Thang_07'!K31+D31</f>
        <v/>
      </c>
      <c r="L31" s="30">
        <f>IF(K31&gt;0, M31/K31, 0)</f>
        <v/>
      </c>
      <c r="M31" s="29">
        <f>'Thang_07'!M31+F31</f>
        <v/>
      </c>
      <c r="N31" s="29">
        <f>'Thang_07'!N31+G31</f>
        <v/>
      </c>
      <c r="O31" s="29">
        <f>'Thang_07'!O31+H31</f>
        <v/>
      </c>
      <c r="P31" s="29">
        <f>'Thang_07'!P31+I31</f>
        <v/>
      </c>
      <c r="Q31" s="29">
        <f>'Thang_07'!Q31+J31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'Thang_07'!K32+D32</f>
        <v/>
      </c>
      <c r="L32" s="30">
        <f>IF(K32&gt;0, M32/K32, 0)</f>
        <v/>
      </c>
      <c r="M32" s="29">
        <f>'Thang_07'!M32+F32</f>
        <v/>
      </c>
      <c r="N32" s="29">
        <f>'Thang_07'!N32+G32</f>
        <v/>
      </c>
      <c r="O32" s="29">
        <f>'Thang_07'!O32+H32</f>
        <v/>
      </c>
      <c r="P32" s="29">
        <f>'Thang_07'!P32+I32</f>
        <v/>
      </c>
      <c r="Q32" s="29">
        <f>'Thang_07'!Q32+J32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'Thang_07'!Q33+J33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'Thang_07'!K34+D34</f>
        <v/>
      </c>
      <c r="L34" s="30">
        <f>IF(K34&gt;0, M34/K34, 0)</f>
        <v/>
      </c>
      <c r="M34" s="29">
        <f>'Thang_07'!M34+F34</f>
        <v/>
      </c>
      <c r="N34" s="29">
        <f>'Thang_07'!N34+G34</f>
        <v/>
      </c>
      <c r="O34" s="29">
        <f>'Thang_07'!O34+H34</f>
        <v/>
      </c>
      <c r="P34" s="29">
        <f>'Thang_07'!P34+I34</f>
        <v/>
      </c>
      <c r="Q34" s="29">
        <f>'Thang_07'!Q34+J34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'Thang_07'!K35+D35</f>
        <v/>
      </c>
      <c r="L35" s="30">
        <f>IF(K35&gt;0, M35/K35, 0)</f>
        <v/>
      </c>
      <c r="M35" s="29">
        <f>'Thang_07'!M35+F35</f>
        <v/>
      </c>
      <c r="N35" s="29">
        <f>'Thang_07'!N35+G35</f>
        <v/>
      </c>
      <c r="O35" s="29">
        <f>'Thang_07'!O35+H35</f>
        <v/>
      </c>
      <c r="P35" s="29">
        <f>'Thang_07'!P35+I35</f>
        <v/>
      </c>
      <c r="Q35" s="29">
        <f>'Thang_07'!Q35+J35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'Thang_07'!K36+D36</f>
        <v/>
      </c>
      <c r="L36" s="30">
        <f>IF(K36&gt;0, M36/K36, 0)</f>
        <v/>
      </c>
      <c r="M36" s="29">
        <f>'Thang_07'!M36+F36</f>
        <v/>
      </c>
      <c r="N36" s="29">
        <f>'Thang_07'!N36+G36</f>
        <v/>
      </c>
      <c r="O36" s="29">
        <f>'Thang_07'!O36+H36</f>
        <v/>
      </c>
      <c r="P36" s="29">
        <f>'Thang_07'!P36+I36</f>
        <v/>
      </c>
      <c r="Q36" s="29">
        <f>'Thang_07'!Q36+J36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'Thang_07'!Q37+J37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'Thang_07'!K38+D38</f>
        <v/>
      </c>
      <c r="L38" s="30">
        <f>IF(K38&gt;0, M38/K38, 0)</f>
        <v/>
      </c>
      <c r="M38" s="29">
        <f>'Thang_07'!M38+F38</f>
        <v/>
      </c>
      <c r="N38" s="29">
        <f>'Thang_07'!N38+G38</f>
        <v/>
      </c>
      <c r="O38" s="29">
        <f>'Thang_07'!O38+H38</f>
        <v/>
      </c>
      <c r="P38" s="29">
        <f>'Thang_07'!P38+I38</f>
        <v/>
      </c>
      <c r="Q38" s="29">
        <f>'Thang_07'!Q38+J38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'Thang_07'!K39+D39</f>
        <v/>
      </c>
      <c r="L39" s="30">
        <f>IF(K39&gt;0, M39/K39, 0)</f>
        <v/>
      </c>
      <c r="M39" s="29">
        <f>'Thang_07'!M39+F39</f>
        <v/>
      </c>
      <c r="N39" s="29">
        <f>'Thang_07'!N39+G39</f>
        <v/>
      </c>
      <c r="O39" s="29">
        <f>'Thang_07'!O39+H39</f>
        <v/>
      </c>
      <c r="P39" s="29">
        <f>'Thang_07'!P39+I39</f>
        <v/>
      </c>
      <c r="Q39" s="29">
        <f>'Thang_07'!Q39+J39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'Thang_07'!K40+D40</f>
        <v/>
      </c>
      <c r="L40" s="30">
        <f>IF(K40&gt;0, M40/K40, 0)</f>
        <v/>
      </c>
      <c r="M40" s="29">
        <f>'Thang_07'!M40+F40</f>
        <v/>
      </c>
      <c r="N40" s="29">
        <f>'Thang_07'!N40+G40</f>
        <v/>
      </c>
      <c r="O40" s="29">
        <f>'Thang_07'!O40+H40</f>
        <v/>
      </c>
      <c r="P40" s="29">
        <f>'Thang_07'!P40+I40</f>
        <v/>
      </c>
      <c r="Q40" s="29">
        <f>'Thang_07'!Q40+J40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'Thang_07'!K41+D41</f>
        <v/>
      </c>
      <c r="L41" s="30">
        <f>IF(K41&gt;0, M41/K41, 0)</f>
        <v/>
      </c>
      <c r="M41" s="29">
        <f>'Thang_07'!M41+F41</f>
        <v/>
      </c>
      <c r="N41" s="29">
        <f>'Thang_07'!N41+G41</f>
        <v/>
      </c>
      <c r="O41" s="29">
        <f>'Thang_07'!O41+H41</f>
        <v/>
      </c>
      <c r="P41" s="29">
        <f>'Thang_07'!P41+I41</f>
        <v/>
      </c>
      <c r="Q41" s="29">
        <f>'Thang_07'!Q41+J41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'Thang_07'!K42+D42</f>
        <v/>
      </c>
      <c r="L42" s="30">
        <f>IF(K42&gt;0, M42/K42, 0)</f>
        <v/>
      </c>
      <c r="M42" s="29">
        <f>'Thang_07'!M42+F42</f>
        <v/>
      </c>
      <c r="N42" s="29">
        <f>'Thang_07'!N42+G42</f>
        <v/>
      </c>
      <c r="O42" s="29">
        <f>'Thang_07'!O42+H42</f>
        <v/>
      </c>
      <c r="P42" s="29">
        <f>'Thang_07'!P42+I42</f>
        <v/>
      </c>
      <c r="Q42" s="29">
        <f>'Thang_07'!Q42+J42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'Thang_07'!K43+D43</f>
        <v/>
      </c>
      <c r="L43" s="30">
        <f>IF(K43&gt;0, M43/K43, 0)</f>
        <v/>
      </c>
      <c r="M43" s="29">
        <f>'Thang_07'!M43+F43</f>
        <v/>
      </c>
      <c r="N43" s="29">
        <f>'Thang_07'!N43+G43</f>
        <v/>
      </c>
      <c r="O43" s="29">
        <f>'Thang_07'!O43+H43</f>
        <v/>
      </c>
      <c r="P43" s="29">
        <f>'Thang_07'!P43+I43</f>
        <v/>
      </c>
      <c r="Q43" s="29">
        <f>'Thang_07'!Q43+J43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'Thang_07'!K44+D44</f>
        <v/>
      </c>
      <c r="L44" s="30">
        <f>IF(K44&gt;0, M44/K44, 0)</f>
        <v/>
      </c>
      <c r="M44" s="29">
        <f>'Thang_07'!M44+F44</f>
        <v/>
      </c>
      <c r="N44" s="29">
        <f>'Thang_07'!N44+G44</f>
        <v/>
      </c>
      <c r="O44" s="29">
        <f>'Thang_07'!O44+H44</f>
        <v/>
      </c>
      <c r="P44" s="29">
        <f>'Thang_07'!P44+I44</f>
        <v/>
      </c>
      <c r="Q44" s="29">
        <f>'Thang_07'!Q44+J44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'Thang_07'!Q45+J45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09/2026 VÀ LŨY KẾ 9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09</t>
        </is>
      </c>
      <c r="K5" s="10" t="inlineStr">
        <is>
          <t>LŨY KẾ 9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'Thang_08'!Q7+J7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'Thang_08'!Q8+J8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'Thang_08'!Q9+J9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'Thang_08'!K10+D10</f>
        <v/>
      </c>
      <c r="L10" s="30">
        <f>IF(K10&gt;0, M10/K10, 0)</f>
        <v/>
      </c>
      <c r="M10" s="29">
        <f>'Thang_08'!M10+F10</f>
        <v/>
      </c>
      <c r="N10" s="29">
        <f>'Thang_08'!N10+G10</f>
        <v/>
      </c>
      <c r="O10" s="29">
        <f>'Thang_08'!O10+H10</f>
        <v/>
      </c>
      <c r="P10" s="29">
        <f>'Thang_08'!P10+I10</f>
        <v/>
      </c>
      <c r="Q10" s="29">
        <f>'Thang_08'!Q10+J10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'Thang_08'!K11+D11</f>
        <v/>
      </c>
      <c r="L11" s="30">
        <f>IF(K11&gt;0, M11/K11, 0)</f>
        <v/>
      </c>
      <c r="M11" s="29">
        <f>'Thang_08'!M11+F11</f>
        <v/>
      </c>
      <c r="N11" s="29">
        <f>'Thang_08'!N11+G11</f>
        <v/>
      </c>
      <c r="O11" s="29">
        <f>'Thang_08'!O11+H11</f>
        <v/>
      </c>
      <c r="P11" s="29">
        <f>'Thang_08'!P11+I11</f>
        <v/>
      </c>
      <c r="Q11" s="29">
        <f>'Thang_08'!Q11+J11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'Thang_08'!K12+D12</f>
        <v/>
      </c>
      <c r="L12" s="30">
        <f>IF(K12&gt;0, M12/K12, 0)</f>
        <v/>
      </c>
      <c r="M12" s="29">
        <f>'Thang_08'!M12+F12</f>
        <v/>
      </c>
      <c r="N12" s="29">
        <f>'Thang_08'!N12+G12</f>
        <v/>
      </c>
      <c r="O12" s="29">
        <f>'Thang_08'!O12+H12</f>
        <v/>
      </c>
      <c r="P12" s="29">
        <f>'Thang_08'!P12+I12</f>
        <v/>
      </c>
      <c r="Q12" s="29">
        <f>'Thang_08'!Q12+J12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'Thang_08'!K13+D13</f>
        <v/>
      </c>
      <c r="L13" s="30">
        <f>IF(K13&gt;0, M13/K13, 0)</f>
        <v/>
      </c>
      <c r="M13" s="29">
        <f>'Thang_08'!M13+F13</f>
        <v/>
      </c>
      <c r="N13" s="29">
        <f>'Thang_08'!N13+G13</f>
        <v/>
      </c>
      <c r="O13" s="29">
        <f>'Thang_08'!O13+H13</f>
        <v/>
      </c>
      <c r="P13" s="29">
        <f>'Thang_08'!P13+I13</f>
        <v/>
      </c>
      <c r="Q13" s="29">
        <f>'Thang_08'!Q13+J13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'Thang_08'!K14+D14</f>
        <v/>
      </c>
      <c r="L14" s="30">
        <f>IF(K14&gt;0, M14/K14, 0)</f>
        <v/>
      </c>
      <c r="M14" s="29">
        <f>'Thang_08'!M14+F14</f>
        <v/>
      </c>
      <c r="N14" s="29">
        <f>'Thang_08'!N14+G14</f>
        <v/>
      </c>
      <c r="O14" s="29">
        <f>'Thang_08'!O14+H14</f>
        <v/>
      </c>
      <c r="P14" s="29">
        <f>'Thang_08'!P14+I14</f>
        <v/>
      </c>
      <c r="Q14" s="29">
        <f>'Thang_08'!Q14+J14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'Thang_08'!K15+D15</f>
        <v/>
      </c>
      <c r="L15" s="30">
        <f>IF(K15&gt;0, M15/K15, 0)</f>
        <v/>
      </c>
      <c r="M15" s="29">
        <f>'Thang_08'!M15+F15</f>
        <v/>
      </c>
      <c r="N15" s="29">
        <f>'Thang_08'!N15+G15</f>
        <v/>
      </c>
      <c r="O15" s="29">
        <f>'Thang_08'!O15+H15</f>
        <v/>
      </c>
      <c r="P15" s="29">
        <f>'Thang_08'!P15+I15</f>
        <v/>
      </c>
      <c r="Q15" s="29">
        <f>'Thang_08'!Q15+J15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'Thang_08'!K16+D16</f>
        <v/>
      </c>
      <c r="L16" s="30">
        <f>IF(K16&gt;0, M16/K16, 0)</f>
        <v/>
      </c>
      <c r="M16" s="29">
        <f>'Thang_08'!M16+F16</f>
        <v/>
      </c>
      <c r="N16" s="29">
        <f>'Thang_08'!N16+G16</f>
        <v/>
      </c>
      <c r="O16" s="29">
        <f>'Thang_08'!O16+H16</f>
        <v/>
      </c>
      <c r="P16" s="29">
        <f>'Thang_08'!P16+I16</f>
        <v/>
      </c>
      <c r="Q16" s="29">
        <f>'Thang_08'!Q16+J16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'Thang_08'!K17+D17</f>
        <v/>
      </c>
      <c r="L17" s="30">
        <f>IF(K17&gt;0, M17/K17, 0)</f>
        <v/>
      </c>
      <c r="M17" s="29">
        <f>'Thang_08'!M17+F17</f>
        <v/>
      </c>
      <c r="N17" s="29">
        <f>'Thang_08'!N17+G17</f>
        <v/>
      </c>
      <c r="O17" s="29">
        <f>'Thang_08'!O17+H17</f>
        <v/>
      </c>
      <c r="P17" s="29">
        <f>'Thang_08'!P17+I17</f>
        <v/>
      </c>
      <c r="Q17" s="29">
        <f>'Thang_08'!Q17+J17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'Thang_08'!Q18+J18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'Thang_08'!K19+D19</f>
        <v/>
      </c>
      <c r="L19" s="30">
        <f>IF(K19&gt;0, M19/K19, 0)</f>
        <v/>
      </c>
      <c r="M19" s="29">
        <f>'Thang_08'!M19+F19</f>
        <v/>
      </c>
      <c r="N19" s="29">
        <f>'Thang_08'!N19+G19</f>
        <v/>
      </c>
      <c r="O19" s="29">
        <f>'Thang_08'!O19+H19</f>
        <v/>
      </c>
      <c r="P19" s="29">
        <f>'Thang_08'!P19+I19</f>
        <v/>
      </c>
      <c r="Q19" s="29">
        <f>'Thang_08'!Q19+J19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'Thang_08'!K20+D20</f>
        <v/>
      </c>
      <c r="L20" s="30">
        <f>IF(K20&gt;0, M20/K20, 0)</f>
        <v/>
      </c>
      <c r="M20" s="29">
        <f>'Thang_08'!M20+F20</f>
        <v/>
      </c>
      <c r="N20" s="29">
        <f>'Thang_08'!N20+G20</f>
        <v/>
      </c>
      <c r="O20" s="29">
        <f>'Thang_08'!O20+H20</f>
        <v/>
      </c>
      <c r="P20" s="29">
        <f>'Thang_08'!P20+I20</f>
        <v/>
      </c>
      <c r="Q20" s="29">
        <f>'Thang_08'!Q20+J20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'Thang_08'!K21+D21</f>
        <v/>
      </c>
      <c r="L21" s="30">
        <f>IF(K21&gt;0, M21/K21, 0)</f>
        <v/>
      </c>
      <c r="M21" s="29">
        <f>'Thang_08'!M21+F21</f>
        <v/>
      </c>
      <c r="N21" s="29">
        <f>'Thang_08'!N21+G21</f>
        <v/>
      </c>
      <c r="O21" s="29">
        <f>'Thang_08'!O21+H21</f>
        <v/>
      </c>
      <c r="P21" s="29">
        <f>'Thang_08'!P21+I21</f>
        <v/>
      </c>
      <c r="Q21" s="29">
        <f>'Thang_08'!Q21+J21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'Thang_08'!K22+D22</f>
        <v/>
      </c>
      <c r="L22" s="30">
        <f>IF(K22&gt;0, M22/K22, 0)</f>
        <v/>
      </c>
      <c r="M22" s="29">
        <f>'Thang_08'!M22+F22</f>
        <v/>
      </c>
      <c r="N22" s="29">
        <f>'Thang_08'!N22+G22</f>
        <v/>
      </c>
      <c r="O22" s="29">
        <f>'Thang_08'!O22+H22</f>
        <v/>
      </c>
      <c r="P22" s="29">
        <f>'Thang_08'!P22+I22</f>
        <v/>
      </c>
      <c r="Q22" s="29">
        <f>'Thang_08'!Q22+J22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'Thang_08'!K23+D23</f>
        <v/>
      </c>
      <c r="L23" s="20">
        <f>IF(K23&gt;0, M23/K23, 0)</f>
        <v/>
      </c>
      <c r="M23" s="19">
        <f>'Thang_08'!M23+F23</f>
        <v/>
      </c>
      <c r="N23" s="19">
        <f>'Thang_08'!N23+G23</f>
        <v/>
      </c>
      <c r="O23" s="19">
        <f>'Thang_08'!O23+H23</f>
        <v/>
      </c>
      <c r="P23" s="19">
        <f>'Thang_08'!P23+I23</f>
        <v/>
      </c>
      <c r="Q23" s="19">
        <f>'Thang_08'!Q23+J23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'Thang_08'!Q24+J24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'Thang_08'!K25+D25</f>
        <v/>
      </c>
      <c r="L25" s="30">
        <f>IF(K25&gt;0, M25/K25, 0)</f>
        <v/>
      </c>
      <c r="M25" s="29">
        <f>'Thang_08'!M25+F25</f>
        <v/>
      </c>
      <c r="N25" s="29">
        <f>'Thang_08'!N25+G25</f>
        <v/>
      </c>
      <c r="O25" s="29">
        <f>'Thang_08'!O25+H25</f>
        <v/>
      </c>
      <c r="P25" s="29">
        <f>'Thang_08'!P25+I25</f>
        <v/>
      </c>
      <c r="Q25" s="29">
        <f>'Thang_08'!Q25+J25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'Thang_08'!K26+D26</f>
        <v/>
      </c>
      <c r="L26" s="30">
        <f>IF(K26&gt;0, M26/K26, 0)</f>
        <v/>
      </c>
      <c r="M26" s="29">
        <f>'Thang_08'!M26+F26</f>
        <v/>
      </c>
      <c r="N26" s="29">
        <f>'Thang_08'!N26+G26</f>
        <v/>
      </c>
      <c r="O26" s="29">
        <f>'Thang_08'!O26+H26</f>
        <v/>
      </c>
      <c r="P26" s="29">
        <f>'Thang_08'!P26+I26</f>
        <v/>
      </c>
      <c r="Q26" s="29">
        <f>'Thang_08'!Q26+J26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'Thang_08'!Q27+J27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'Thang_08'!Q28+J28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'Thang_08'!K29+D29</f>
        <v/>
      </c>
      <c r="L29" s="30">
        <f>IF(K29&gt;0, M29/K29, 0)</f>
        <v/>
      </c>
      <c r="M29" s="29">
        <f>'Thang_08'!M29+F29</f>
        <v/>
      </c>
      <c r="N29" s="29">
        <f>'Thang_08'!N29+G29</f>
        <v/>
      </c>
      <c r="O29" s="29">
        <f>'Thang_08'!O29+H29</f>
        <v/>
      </c>
      <c r="P29" s="29">
        <f>'Thang_08'!P29+I29</f>
        <v/>
      </c>
      <c r="Q29" s="29">
        <f>'Thang_08'!Q29+J29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'Thang_08'!K30+D30</f>
        <v/>
      </c>
      <c r="L30" s="30">
        <f>IF(K30&gt;0, M30/K30, 0)</f>
        <v/>
      </c>
      <c r="M30" s="29">
        <f>'Thang_08'!M30+F30</f>
        <v/>
      </c>
      <c r="N30" s="29">
        <f>'Thang_08'!N30+G30</f>
        <v/>
      </c>
      <c r="O30" s="29">
        <f>'Thang_08'!O30+H30</f>
        <v/>
      </c>
      <c r="P30" s="29">
        <f>'Thang_08'!P30+I30</f>
        <v/>
      </c>
      <c r="Q30" s="29">
        <f>'Thang_08'!Q30+J30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'Thang_08'!K31+D31</f>
        <v/>
      </c>
      <c r="L31" s="30">
        <f>IF(K31&gt;0, M31/K31, 0)</f>
        <v/>
      </c>
      <c r="M31" s="29">
        <f>'Thang_08'!M31+F31</f>
        <v/>
      </c>
      <c r="N31" s="29">
        <f>'Thang_08'!N31+G31</f>
        <v/>
      </c>
      <c r="O31" s="29">
        <f>'Thang_08'!O31+H31</f>
        <v/>
      </c>
      <c r="P31" s="29">
        <f>'Thang_08'!P31+I31</f>
        <v/>
      </c>
      <c r="Q31" s="29">
        <f>'Thang_08'!Q31+J31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'Thang_08'!K32+D32</f>
        <v/>
      </c>
      <c r="L32" s="30">
        <f>IF(K32&gt;0, M32/K32, 0)</f>
        <v/>
      </c>
      <c r="M32" s="29">
        <f>'Thang_08'!M32+F32</f>
        <v/>
      </c>
      <c r="N32" s="29">
        <f>'Thang_08'!N32+G32</f>
        <v/>
      </c>
      <c r="O32" s="29">
        <f>'Thang_08'!O32+H32</f>
        <v/>
      </c>
      <c r="P32" s="29">
        <f>'Thang_08'!P32+I32</f>
        <v/>
      </c>
      <c r="Q32" s="29">
        <f>'Thang_08'!Q32+J32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'Thang_08'!Q33+J33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'Thang_08'!K34+D34</f>
        <v/>
      </c>
      <c r="L34" s="30">
        <f>IF(K34&gt;0, M34/K34, 0)</f>
        <v/>
      </c>
      <c r="M34" s="29">
        <f>'Thang_08'!M34+F34</f>
        <v/>
      </c>
      <c r="N34" s="29">
        <f>'Thang_08'!N34+G34</f>
        <v/>
      </c>
      <c r="O34" s="29">
        <f>'Thang_08'!O34+H34</f>
        <v/>
      </c>
      <c r="P34" s="29">
        <f>'Thang_08'!P34+I34</f>
        <v/>
      </c>
      <c r="Q34" s="29">
        <f>'Thang_08'!Q34+J34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'Thang_08'!K35+D35</f>
        <v/>
      </c>
      <c r="L35" s="30">
        <f>IF(K35&gt;0, M35/K35, 0)</f>
        <v/>
      </c>
      <c r="M35" s="29">
        <f>'Thang_08'!M35+F35</f>
        <v/>
      </c>
      <c r="N35" s="29">
        <f>'Thang_08'!N35+G35</f>
        <v/>
      </c>
      <c r="O35" s="29">
        <f>'Thang_08'!O35+H35</f>
        <v/>
      </c>
      <c r="P35" s="29">
        <f>'Thang_08'!P35+I35</f>
        <v/>
      </c>
      <c r="Q35" s="29">
        <f>'Thang_08'!Q35+J35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'Thang_08'!K36+D36</f>
        <v/>
      </c>
      <c r="L36" s="30">
        <f>IF(K36&gt;0, M36/K36, 0)</f>
        <v/>
      </c>
      <c r="M36" s="29">
        <f>'Thang_08'!M36+F36</f>
        <v/>
      </c>
      <c r="N36" s="29">
        <f>'Thang_08'!N36+G36</f>
        <v/>
      </c>
      <c r="O36" s="29">
        <f>'Thang_08'!O36+H36</f>
        <v/>
      </c>
      <c r="P36" s="29">
        <f>'Thang_08'!P36+I36</f>
        <v/>
      </c>
      <c r="Q36" s="29">
        <f>'Thang_08'!Q36+J36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'Thang_08'!Q37+J37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'Thang_08'!K38+D38</f>
        <v/>
      </c>
      <c r="L38" s="30">
        <f>IF(K38&gt;0, M38/K38, 0)</f>
        <v/>
      </c>
      <c r="M38" s="29">
        <f>'Thang_08'!M38+F38</f>
        <v/>
      </c>
      <c r="N38" s="29">
        <f>'Thang_08'!N38+G38</f>
        <v/>
      </c>
      <c r="O38" s="29">
        <f>'Thang_08'!O38+H38</f>
        <v/>
      </c>
      <c r="P38" s="29">
        <f>'Thang_08'!P38+I38</f>
        <v/>
      </c>
      <c r="Q38" s="29">
        <f>'Thang_08'!Q38+J38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'Thang_08'!K39+D39</f>
        <v/>
      </c>
      <c r="L39" s="30">
        <f>IF(K39&gt;0, M39/K39, 0)</f>
        <v/>
      </c>
      <c r="M39" s="29">
        <f>'Thang_08'!M39+F39</f>
        <v/>
      </c>
      <c r="N39" s="29">
        <f>'Thang_08'!N39+G39</f>
        <v/>
      </c>
      <c r="O39" s="29">
        <f>'Thang_08'!O39+H39</f>
        <v/>
      </c>
      <c r="P39" s="29">
        <f>'Thang_08'!P39+I39</f>
        <v/>
      </c>
      <c r="Q39" s="29">
        <f>'Thang_08'!Q39+J39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'Thang_08'!K40+D40</f>
        <v/>
      </c>
      <c r="L40" s="30">
        <f>IF(K40&gt;0, M40/K40, 0)</f>
        <v/>
      </c>
      <c r="M40" s="29">
        <f>'Thang_08'!M40+F40</f>
        <v/>
      </c>
      <c r="N40" s="29">
        <f>'Thang_08'!N40+G40</f>
        <v/>
      </c>
      <c r="O40" s="29">
        <f>'Thang_08'!O40+H40</f>
        <v/>
      </c>
      <c r="P40" s="29">
        <f>'Thang_08'!P40+I40</f>
        <v/>
      </c>
      <c r="Q40" s="29">
        <f>'Thang_08'!Q40+J40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'Thang_08'!K41+D41</f>
        <v/>
      </c>
      <c r="L41" s="30">
        <f>IF(K41&gt;0, M41/K41, 0)</f>
        <v/>
      </c>
      <c r="M41" s="29">
        <f>'Thang_08'!M41+F41</f>
        <v/>
      </c>
      <c r="N41" s="29">
        <f>'Thang_08'!N41+G41</f>
        <v/>
      </c>
      <c r="O41" s="29">
        <f>'Thang_08'!O41+H41</f>
        <v/>
      </c>
      <c r="P41" s="29">
        <f>'Thang_08'!P41+I41</f>
        <v/>
      </c>
      <c r="Q41" s="29">
        <f>'Thang_08'!Q41+J41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'Thang_08'!K42+D42</f>
        <v/>
      </c>
      <c r="L42" s="30">
        <f>IF(K42&gt;0, M42/K42, 0)</f>
        <v/>
      </c>
      <c r="M42" s="29">
        <f>'Thang_08'!M42+F42</f>
        <v/>
      </c>
      <c r="N42" s="29">
        <f>'Thang_08'!N42+G42</f>
        <v/>
      </c>
      <c r="O42" s="29">
        <f>'Thang_08'!O42+H42</f>
        <v/>
      </c>
      <c r="P42" s="29">
        <f>'Thang_08'!P42+I42</f>
        <v/>
      </c>
      <c r="Q42" s="29">
        <f>'Thang_08'!Q42+J42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'Thang_08'!K43+D43</f>
        <v/>
      </c>
      <c r="L43" s="30">
        <f>IF(K43&gt;0, M43/K43, 0)</f>
        <v/>
      </c>
      <c r="M43" s="29">
        <f>'Thang_08'!M43+F43</f>
        <v/>
      </c>
      <c r="N43" s="29">
        <f>'Thang_08'!N43+G43</f>
        <v/>
      </c>
      <c r="O43" s="29">
        <f>'Thang_08'!O43+H43</f>
        <v/>
      </c>
      <c r="P43" s="29">
        <f>'Thang_08'!P43+I43</f>
        <v/>
      </c>
      <c r="Q43" s="29">
        <f>'Thang_08'!Q43+J43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'Thang_08'!K44+D44</f>
        <v/>
      </c>
      <c r="L44" s="30">
        <f>IF(K44&gt;0, M44/K44, 0)</f>
        <v/>
      </c>
      <c r="M44" s="29">
        <f>'Thang_08'!M44+F44</f>
        <v/>
      </c>
      <c r="N44" s="29">
        <f>'Thang_08'!N44+G44</f>
        <v/>
      </c>
      <c r="O44" s="29">
        <f>'Thang_08'!O44+H44</f>
        <v/>
      </c>
      <c r="P44" s="29">
        <f>'Thang_08'!P44+I44</f>
        <v/>
      </c>
      <c r="Q44" s="29">
        <f>'Thang_08'!Q44+J44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'Thang_08'!Q45+J45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10/2026 VÀ LŨY KẾ 10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10</t>
        </is>
      </c>
      <c r="K5" s="10" t="inlineStr">
        <is>
          <t>LŨY KẾ 10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'Thang_09'!Q7+J7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'Thang_09'!Q8+J8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'Thang_09'!Q9+J9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'Thang_09'!K10+D10</f>
        <v/>
      </c>
      <c r="L10" s="30">
        <f>IF(K10&gt;0, M10/K10, 0)</f>
        <v/>
      </c>
      <c r="M10" s="29">
        <f>'Thang_09'!M10+F10</f>
        <v/>
      </c>
      <c r="N10" s="29">
        <f>'Thang_09'!N10+G10</f>
        <v/>
      </c>
      <c r="O10" s="29">
        <f>'Thang_09'!O10+H10</f>
        <v/>
      </c>
      <c r="P10" s="29">
        <f>'Thang_09'!P10+I10</f>
        <v/>
      </c>
      <c r="Q10" s="29">
        <f>'Thang_09'!Q10+J10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'Thang_09'!K11+D11</f>
        <v/>
      </c>
      <c r="L11" s="30">
        <f>IF(K11&gt;0, M11/K11, 0)</f>
        <v/>
      </c>
      <c r="M11" s="29">
        <f>'Thang_09'!M11+F11</f>
        <v/>
      </c>
      <c r="N11" s="29">
        <f>'Thang_09'!N11+G11</f>
        <v/>
      </c>
      <c r="O11" s="29">
        <f>'Thang_09'!O11+H11</f>
        <v/>
      </c>
      <c r="P11" s="29">
        <f>'Thang_09'!P11+I11</f>
        <v/>
      </c>
      <c r="Q11" s="29">
        <f>'Thang_09'!Q11+J11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'Thang_09'!K12+D12</f>
        <v/>
      </c>
      <c r="L12" s="30">
        <f>IF(K12&gt;0, M12/K12, 0)</f>
        <v/>
      </c>
      <c r="M12" s="29">
        <f>'Thang_09'!M12+F12</f>
        <v/>
      </c>
      <c r="N12" s="29">
        <f>'Thang_09'!N12+G12</f>
        <v/>
      </c>
      <c r="O12" s="29">
        <f>'Thang_09'!O12+H12</f>
        <v/>
      </c>
      <c r="P12" s="29">
        <f>'Thang_09'!P12+I12</f>
        <v/>
      </c>
      <c r="Q12" s="29">
        <f>'Thang_09'!Q12+J12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'Thang_09'!K13+D13</f>
        <v/>
      </c>
      <c r="L13" s="30">
        <f>IF(K13&gt;0, M13/K13, 0)</f>
        <v/>
      </c>
      <c r="M13" s="29">
        <f>'Thang_09'!M13+F13</f>
        <v/>
      </c>
      <c r="N13" s="29">
        <f>'Thang_09'!N13+G13</f>
        <v/>
      </c>
      <c r="O13" s="29">
        <f>'Thang_09'!O13+H13</f>
        <v/>
      </c>
      <c r="P13" s="29">
        <f>'Thang_09'!P13+I13</f>
        <v/>
      </c>
      <c r="Q13" s="29">
        <f>'Thang_09'!Q13+J13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'Thang_09'!K14+D14</f>
        <v/>
      </c>
      <c r="L14" s="30">
        <f>IF(K14&gt;0, M14/K14, 0)</f>
        <v/>
      </c>
      <c r="M14" s="29">
        <f>'Thang_09'!M14+F14</f>
        <v/>
      </c>
      <c r="N14" s="29">
        <f>'Thang_09'!N14+G14</f>
        <v/>
      </c>
      <c r="O14" s="29">
        <f>'Thang_09'!O14+H14</f>
        <v/>
      </c>
      <c r="P14" s="29">
        <f>'Thang_09'!P14+I14</f>
        <v/>
      </c>
      <c r="Q14" s="29">
        <f>'Thang_09'!Q14+J14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'Thang_09'!K15+D15</f>
        <v/>
      </c>
      <c r="L15" s="30">
        <f>IF(K15&gt;0, M15/K15, 0)</f>
        <v/>
      </c>
      <c r="M15" s="29">
        <f>'Thang_09'!M15+F15</f>
        <v/>
      </c>
      <c r="N15" s="29">
        <f>'Thang_09'!N15+G15</f>
        <v/>
      </c>
      <c r="O15" s="29">
        <f>'Thang_09'!O15+H15</f>
        <v/>
      </c>
      <c r="P15" s="29">
        <f>'Thang_09'!P15+I15</f>
        <v/>
      </c>
      <c r="Q15" s="29">
        <f>'Thang_09'!Q15+J15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'Thang_09'!K16+D16</f>
        <v/>
      </c>
      <c r="L16" s="30">
        <f>IF(K16&gt;0, M16/K16, 0)</f>
        <v/>
      </c>
      <c r="M16" s="29">
        <f>'Thang_09'!M16+F16</f>
        <v/>
      </c>
      <c r="N16" s="29">
        <f>'Thang_09'!N16+G16</f>
        <v/>
      </c>
      <c r="O16" s="29">
        <f>'Thang_09'!O16+H16</f>
        <v/>
      </c>
      <c r="P16" s="29">
        <f>'Thang_09'!P16+I16</f>
        <v/>
      </c>
      <c r="Q16" s="29">
        <f>'Thang_09'!Q16+J16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'Thang_09'!K17+D17</f>
        <v/>
      </c>
      <c r="L17" s="30">
        <f>IF(K17&gt;0, M17/K17, 0)</f>
        <v/>
      </c>
      <c r="M17" s="29">
        <f>'Thang_09'!M17+F17</f>
        <v/>
      </c>
      <c r="N17" s="29">
        <f>'Thang_09'!N17+G17</f>
        <v/>
      </c>
      <c r="O17" s="29">
        <f>'Thang_09'!O17+H17</f>
        <v/>
      </c>
      <c r="P17" s="29">
        <f>'Thang_09'!P17+I17</f>
        <v/>
      </c>
      <c r="Q17" s="29">
        <f>'Thang_09'!Q17+J17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'Thang_09'!Q18+J18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'Thang_09'!K19+D19</f>
        <v/>
      </c>
      <c r="L19" s="30">
        <f>IF(K19&gt;0, M19/K19, 0)</f>
        <v/>
      </c>
      <c r="M19" s="29">
        <f>'Thang_09'!M19+F19</f>
        <v/>
      </c>
      <c r="N19" s="29">
        <f>'Thang_09'!N19+G19</f>
        <v/>
      </c>
      <c r="O19" s="29">
        <f>'Thang_09'!O19+H19</f>
        <v/>
      </c>
      <c r="P19" s="29">
        <f>'Thang_09'!P19+I19</f>
        <v/>
      </c>
      <c r="Q19" s="29">
        <f>'Thang_09'!Q19+J19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'Thang_09'!K20+D20</f>
        <v/>
      </c>
      <c r="L20" s="30">
        <f>IF(K20&gt;0, M20/K20, 0)</f>
        <v/>
      </c>
      <c r="M20" s="29">
        <f>'Thang_09'!M20+F20</f>
        <v/>
      </c>
      <c r="N20" s="29">
        <f>'Thang_09'!N20+G20</f>
        <v/>
      </c>
      <c r="O20" s="29">
        <f>'Thang_09'!O20+H20</f>
        <v/>
      </c>
      <c r="P20" s="29">
        <f>'Thang_09'!P20+I20</f>
        <v/>
      </c>
      <c r="Q20" s="29">
        <f>'Thang_09'!Q20+J20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'Thang_09'!K21+D21</f>
        <v/>
      </c>
      <c r="L21" s="30">
        <f>IF(K21&gt;0, M21/K21, 0)</f>
        <v/>
      </c>
      <c r="M21" s="29">
        <f>'Thang_09'!M21+F21</f>
        <v/>
      </c>
      <c r="N21" s="29">
        <f>'Thang_09'!N21+G21</f>
        <v/>
      </c>
      <c r="O21" s="29">
        <f>'Thang_09'!O21+H21</f>
        <v/>
      </c>
      <c r="P21" s="29">
        <f>'Thang_09'!P21+I21</f>
        <v/>
      </c>
      <c r="Q21" s="29">
        <f>'Thang_09'!Q21+J21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'Thang_09'!K22+D22</f>
        <v/>
      </c>
      <c r="L22" s="30">
        <f>IF(K22&gt;0, M22/K22, 0)</f>
        <v/>
      </c>
      <c r="M22" s="29">
        <f>'Thang_09'!M22+F22</f>
        <v/>
      </c>
      <c r="N22" s="29">
        <f>'Thang_09'!N22+G22</f>
        <v/>
      </c>
      <c r="O22" s="29">
        <f>'Thang_09'!O22+H22</f>
        <v/>
      </c>
      <c r="P22" s="29">
        <f>'Thang_09'!P22+I22</f>
        <v/>
      </c>
      <c r="Q22" s="29">
        <f>'Thang_09'!Q22+J22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'Thang_09'!K23+D23</f>
        <v/>
      </c>
      <c r="L23" s="20">
        <f>IF(K23&gt;0, M23/K23, 0)</f>
        <v/>
      </c>
      <c r="M23" s="19">
        <f>'Thang_09'!M23+F23</f>
        <v/>
      </c>
      <c r="N23" s="19">
        <f>'Thang_09'!N23+G23</f>
        <v/>
      </c>
      <c r="O23" s="19">
        <f>'Thang_09'!O23+H23</f>
        <v/>
      </c>
      <c r="P23" s="19">
        <f>'Thang_09'!P23+I23</f>
        <v/>
      </c>
      <c r="Q23" s="19">
        <f>'Thang_09'!Q23+J23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'Thang_09'!Q24+J24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'Thang_09'!K25+D25</f>
        <v/>
      </c>
      <c r="L25" s="30">
        <f>IF(K25&gt;0, M25/K25, 0)</f>
        <v/>
      </c>
      <c r="M25" s="29">
        <f>'Thang_09'!M25+F25</f>
        <v/>
      </c>
      <c r="N25" s="29">
        <f>'Thang_09'!N25+G25</f>
        <v/>
      </c>
      <c r="O25" s="29">
        <f>'Thang_09'!O25+H25</f>
        <v/>
      </c>
      <c r="P25" s="29">
        <f>'Thang_09'!P25+I25</f>
        <v/>
      </c>
      <c r="Q25" s="29">
        <f>'Thang_09'!Q25+J25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'Thang_09'!K26+D26</f>
        <v/>
      </c>
      <c r="L26" s="30">
        <f>IF(K26&gt;0, M26/K26, 0)</f>
        <v/>
      </c>
      <c r="M26" s="29">
        <f>'Thang_09'!M26+F26</f>
        <v/>
      </c>
      <c r="N26" s="29">
        <f>'Thang_09'!N26+G26</f>
        <v/>
      </c>
      <c r="O26" s="29">
        <f>'Thang_09'!O26+H26</f>
        <v/>
      </c>
      <c r="P26" s="29">
        <f>'Thang_09'!P26+I26</f>
        <v/>
      </c>
      <c r="Q26" s="29">
        <f>'Thang_09'!Q26+J26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'Thang_09'!Q27+J27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'Thang_09'!Q28+J28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'Thang_09'!K29+D29</f>
        <v/>
      </c>
      <c r="L29" s="30">
        <f>IF(K29&gt;0, M29/K29, 0)</f>
        <v/>
      </c>
      <c r="M29" s="29">
        <f>'Thang_09'!M29+F29</f>
        <v/>
      </c>
      <c r="N29" s="29">
        <f>'Thang_09'!N29+G29</f>
        <v/>
      </c>
      <c r="O29" s="29">
        <f>'Thang_09'!O29+H29</f>
        <v/>
      </c>
      <c r="P29" s="29">
        <f>'Thang_09'!P29+I29</f>
        <v/>
      </c>
      <c r="Q29" s="29">
        <f>'Thang_09'!Q29+J29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'Thang_09'!K30+D30</f>
        <v/>
      </c>
      <c r="L30" s="30">
        <f>IF(K30&gt;0, M30/K30, 0)</f>
        <v/>
      </c>
      <c r="M30" s="29">
        <f>'Thang_09'!M30+F30</f>
        <v/>
      </c>
      <c r="N30" s="29">
        <f>'Thang_09'!N30+G30</f>
        <v/>
      </c>
      <c r="O30" s="29">
        <f>'Thang_09'!O30+H30</f>
        <v/>
      </c>
      <c r="P30" s="29">
        <f>'Thang_09'!P30+I30</f>
        <v/>
      </c>
      <c r="Q30" s="29">
        <f>'Thang_09'!Q30+J30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'Thang_09'!K31+D31</f>
        <v/>
      </c>
      <c r="L31" s="30">
        <f>IF(K31&gt;0, M31/K31, 0)</f>
        <v/>
      </c>
      <c r="M31" s="29">
        <f>'Thang_09'!M31+F31</f>
        <v/>
      </c>
      <c r="N31" s="29">
        <f>'Thang_09'!N31+G31</f>
        <v/>
      </c>
      <c r="O31" s="29">
        <f>'Thang_09'!O31+H31</f>
        <v/>
      </c>
      <c r="P31" s="29">
        <f>'Thang_09'!P31+I31</f>
        <v/>
      </c>
      <c r="Q31" s="29">
        <f>'Thang_09'!Q31+J31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'Thang_09'!K32+D32</f>
        <v/>
      </c>
      <c r="L32" s="30">
        <f>IF(K32&gt;0, M32/K32, 0)</f>
        <v/>
      </c>
      <c r="M32" s="29">
        <f>'Thang_09'!M32+F32</f>
        <v/>
      </c>
      <c r="N32" s="29">
        <f>'Thang_09'!N32+G32</f>
        <v/>
      </c>
      <c r="O32" s="29">
        <f>'Thang_09'!O32+H32</f>
        <v/>
      </c>
      <c r="P32" s="29">
        <f>'Thang_09'!P32+I32</f>
        <v/>
      </c>
      <c r="Q32" s="29">
        <f>'Thang_09'!Q32+J32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'Thang_09'!Q33+J33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'Thang_09'!K34+D34</f>
        <v/>
      </c>
      <c r="L34" s="30">
        <f>IF(K34&gt;0, M34/K34, 0)</f>
        <v/>
      </c>
      <c r="M34" s="29">
        <f>'Thang_09'!M34+F34</f>
        <v/>
      </c>
      <c r="N34" s="29">
        <f>'Thang_09'!N34+G34</f>
        <v/>
      </c>
      <c r="O34" s="29">
        <f>'Thang_09'!O34+H34</f>
        <v/>
      </c>
      <c r="P34" s="29">
        <f>'Thang_09'!P34+I34</f>
        <v/>
      </c>
      <c r="Q34" s="29">
        <f>'Thang_09'!Q34+J34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'Thang_09'!K35+D35</f>
        <v/>
      </c>
      <c r="L35" s="30">
        <f>IF(K35&gt;0, M35/K35, 0)</f>
        <v/>
      </c>
      <c r="M35" s="29">
        <f>'Thang_09'!M35+F35</f>
        <v/>
      </c>
      <c r="N35" s="29">
        <f>'Thang_09'!N35+G35</f>
        <v/>
      </c>
      <c r="O35" s="29">
        <f>'Thang_09'!O35+H35</f>
        <v/>
      </c>
      <c r="P35" s="29">
        <f>'Thang_09'!P35+I35</f>
        <v/>
      </c>
      <c r="Q35" s="29">
        <f>'Thang_09'!Q35+J35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'Thang_09'!K36+D36</f>
        <v/>
      </c>
      <c r="L36" s="30">
        <f>IF(K36&gt;0, M36/K36, 0)</f>
        <v/>
      </c>
      <c r="M36" s="29">
        <f>'Thang_09'!M36+F36</f>
        <v/>
      </c>
      <c r="N36" s="29">
        <f>'Thang_09'!N36+G36</f>
        <v/>
      </c>
      <c r="O36" s="29">
        <f>'Thang_09'!O36+H36</f>
        <v/>
      </c>
      <c r="P36" s="29">
        <f>'Thang_09'!P36+I36</f>
        <v/>
      </c>
      <c r="Q36" s="29">
        <f>'Thang_09'!Q36+J36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'Thang_09'!Q37+J37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'Thang_09'!K38+D38</f>
        <v/>
      </c>
      <c r="L38" s="30">
        <f>IF(K38&gt;0, M38/K38, 0)</f>
        <v/>
      </c>
      <c r="M38" s="29">
        <f>'Thang_09'!M38+F38</f>
        <v/>
      </c>
      <c r="N38" s="29">
        <f>'Thang_09'!N38+G38</f>
        <v/>
      </c>
      <c r="O38" s="29">
        <f>'Thang_09'!O38+H38</f>
        <v/>
      </c>
      <c r="P38" s="29">
        <f>'Thang_09'!P38+I38</f>
        <v/>
      </c>
      <c r="Q38" s="29">
        <f>'Thang_09'!Q38+J38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'Thang_09'!K39+D39</f>
        <v/>
      </c>
      <c r="L39" s="30">
        <f>IF(K39&gt;0, M39/K39, 0)</f>
        <v/>
      </c>
      <c r="M39" s="29">
        <f>'Thang_09'!M39+F39</f>
        <v/>
      </c>
      <c r="N39" s="29">
        <f>'Thang_09'!N39+G39</f>
        <v/>
      </c>
      <c r="O39" s="29">
        <f>'Thang_09'!O39+H39</f>
        <v/>
      </c>
      <c r="P39" s="29">
        <f>'Thang_09'!P39+I39</f>
        <v/>
      </c>
      <c r="Q39" s="29">
        <f>'Thang_09'!Q39+J39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'Thang_09'!K40+D40</f>
        <v/>
      </c>
      <c r="L40" s="30">
        <f>IF(K40&gt;0, M40/K40, 0)</f>
        <v/>
      </c>
      <c r="M40" s="29">
        <f>'Thang_09'!M40+F40</f>
        <v/>
      </c>
      <c r="N40" s="29">
        <f>'Thang_09'!N40+G40</f>
        <v/>
      </c>
      <c r="O40" s="29">
        <f>'Thang_09'!O40+H40</f>
        <v/>
      </c>
      <c r="P40" s="29">
        <f>'Thang_09'!P40+I40</f>
        <v/>
      </c>
      <c r="Q40" s="29">
        <f>'Thang_09'!Q40+J40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'Thang_09'!K41+D41</f>
        <v/>
      </c>
      <c r="L41" s="30">
        <f>IF(K41&gt;0, M41/K41, 0)</f>
        <v/>
      </c>
      <c r="M41" s="29">
        <f>'Thang_09'!M41+F41</f>
        <v/>
      </c>
      <c r="N41" s="29">
        <f>'Thang_09'!N41+G41</f>
        <v/>
      </c>
      <c r="O41" s="29">
        <f>'Thang_09'!O41+H41</f>
        <v/>
      </c>
      <c r="P41" s="29">
        <f>'Thang_09'!P41+I41</f>
        <v/>
      </c>
      <c r="Q41" s="29">
        <f>'Thang_09'!Q41+J41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'Thang_09'!K42+D42</f>
        <v/>
      </c>
      <c r="L42" s="30">
        <f>IF(K42&gt;0, M42/K42, 0)</f>
        <v/>
      </c>
      <c r="M42" s="29">
        <f>'Thang_09'!M42+F42</f>
        <v/>
      </c>
      <c r="N42" s="29">
        <f>'Thang_09'!N42+G42</f>
        <v/>
      </c>
      <c r="O42" s="29">
        <f>'Thang_09'!O42+H42</f>
        <v/>
      </c>
      <c r="P42" s="29">
        <f>'Thang_09'!P42+I42</f>
        <v/>
      </c>
      <c r="Q42" s="29">
        <f>'Thang_09'!Q42+J42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'Thang_09'!K43+D43</f>
        <v/>
      </c>
      <c r="L43" s="30">
        <f>IF(K43&gt;0, M43/K43, 0)</f>
        <v/>
      </c>
      <c r="M43" s="29">
        <f>'Thang_09'!M43+F43</f>
        <v/>
      </c>
      <c r="N43" s="29">
        <f>'Thang_09'!N43+G43</f>
        <v/>
      </c>
      <c r="O43" s="29">
        <f>'Thang_09'!O43+H43</f>
        <v/>
      </c>
      <c r="P43" s="29">
        <f>'Thang_09'!P43+I43</f>
        <v/>
      </c>
      <c r="Q43" s="29">
        <f>'Thang_09'!Q43+J43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'Thang_09'!K44+D44</f>
        <v/>
      </c>
      <c r="L44" s="30">
        <f>IF(K44&gt;0, M44/K44, 0)</f>
        <v/>
      </c>
      <c r="M44" s="29">
        <f>'Thang_09'!M44+F44</f>
        <v/>
      </c>
      <c r="N44" s="29">
        <f>'Thang_09'!N44+G44</f>
        <v/>
      </c>
      <c r="O44" s="29">
        <f>'Thang_09'!O44+H44</f>
        <v/>
      </c>
      <c r="P44" s="29">
        <f>'Thang_09'!P44+I44</f>
        <v/>
      </c>
      <c r="Q44" s="29">
        <f>'Thang_09'!Q44+J44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'Thang_09'!Q45+J45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11/2026 VÀ LŨY KẾ 11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11</t>
        </is>
      </c>
      <c r="K5" s="10" t="inlineStr">
        <is>
          <t>LŨY KẾ 11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'Thang_10'!Q7+J7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'Thang_10'!Q8+J8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'Thang_10'!Q9+J9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'Thang_10'!K10+D10</f>
        <v/>
      </c>
      <c r="L10" s="30">
        <f>IF(K10&gt;0, M10/K10, 0)</f>
        <v/>
      </c>
      <c r="M10" s="29">
        <f>'Thang_10'!M10+F10</f>
        <v/>
      </c>
      <c r="N10" s="29">
        <f>'Thang_10'!N10+G10</f>
        <v/>
      </c>
      <c r="O10" s="29">
        <f>'Thang_10'!O10+H10</f>
        <v/>
      </c>
      <c r="P10" s="29">
        <f>'Thang_10'!P10+I10</f>
        <v/>
      </c>
      <c r="Q10" s="29">
        <f>'Thang_10'!Q10+J10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'Thang_10'!K11+D11</f>
        <v/>
      </c>
      <c r="L11" s="30">
        <f>IF(K11&gt;0, M11/K11, 0)</f>
        <v/>
      </c>
      <c r="M11" s="29">
        <f>'Thang_10'!M11+F11</f>
        <v/>
      </c>
      <c r="N11" s="29">
        <f>'Thang_10'!N11+G11</f>
        <v/>
      </c>
      <c r="O11" s="29">
        <f>'Thang_10'!O11+H11</f>
        <v/>
      </c>
      <c r="P11" s="29">
        <f>'Thang_10'!P11+I11</f>
        <v/>
      </c>
      <c r="Q11" s="29">
        <f>'Thang_10'!Q11+J11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'Thang_10'!K12+D12</f>
        <v/>
      </c>
      <c r="L12" s="30">
        <f>IF(K12&gt;0, M12/K12, 0)</f>
        <v/>
      </c>
      <c r="M12" s="29">
        <f>'Thang_10'!M12+F12</f>
        <v/>
      </c>
      <c r="N12" s="29">
        <f>'Thang_10'!N12+G12</f>
        <v/>
      </c>
      <c r="O12" s="29">
        <f>'Thang_10'!O12+H12</f>
        <v/>
      </c>
      <c r="P12" s="29">
        <f>'Thang_10'!P12+I12</f>
        <v/>
      </c>
      <c r="Q12" s="29">
        <f>'Thang_10'!Q12+J12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'Thang_10'!K13+D13</f>
        <v/>
      </c>
      <c r="L13" s="30">
        <f>IF(K13&gt;0, M13/K13, 0)</f>
        <v/>
      </c>
      <c r="M13" s="29">
        <f>'Thang_10'!M13+F13</f>
        <v/>
      </c>
      <c r="N13" s="29">
        <f>'Thang_10'!N13+G13</f>
        <v/>
      </c>
      <c r="O13" s="29">
        <f>'Thang_10'!O13+H13</f>
        <v/>
      </c>
      <c r="P13" s="29">
        <f>'Thang_10'!P13+I13</f>
        <v/>
      </c>
      <c r="Q13" s="29">
        <f>'Thang_10'!Q13+J13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'Thang_10'!K14+D14</f>
        <v/>
      </c>
      <c r="L14" s="30">
        <f>IF(K14&gt;0, M14/K14, 0)</f>
        <v/>
      </c>
      <c r="M14" s="29">
        <f>'Thang_10'!M14+F14</f>
        <v/>
      </c>
      <c r="N14" s="29">
        <f>'Thang_10'!N14+G14</f>
        <v/>
      </c>
      <c r="O14" s="29">
        <f>'Thang_10'!O14+H14</f>
        <v/>
      </c>
      <c r="P14" s="29">
        <f>'Thang_10'!P14+I14</f>
        <v/>
      </c>
      <c r="Q14" s="29">
        <f>'Thang_10'!Q14+J14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'Thang_10'!K15+D15</f>
        <v/>
      </c>
      <c r="L15" s="30">
        <f>IF(K15&gt;0, M15/K15, 0)</f>
        <v/>
      </c>
      <c r="M15" s="29">
        <f>'Thang_10'!M15+F15</f>
        <v/>
      </c>
      <c r="N15" s="29">
        <f>'Thang_10'!N15+G15</f>
        <v/>
      </c>
      <c r="O15" s="29">
        <f>'Thang_10'!O15+H15</f>
        <v/>
      </c>
      <c r="P15" s="29">
        <f>'Thang_10'!P15+I15</f>
        <v/>
      </c>
      <c r="Q15" s="29">
        <f>'Thang_10'!Q15+J15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'Thang_10'!K16+D16</f>
        <v/>
      </c>
      <c r="L16" s="30">
        <f>IF(K16&gt;0, M16/K16, 0)</f>
        <v/>
      </c>
      <c r="M16" s="29">
        <f>'Thang_10'!M16+F16</f>
        <v/>
      </c>
      <c r="N16" s="29">
        <f>'Thang_10'!N16+G16</f>
        <v/>
      </c>
      <c r="O16" s="29">
        <f>'Thang_10'!O16+H16</f>
        <v/>
      </c>
      <c r="P16" s="29">
        <f>'Thang_10'!P16+I16</f>
        <v/>
      </c>
      <c r="Q16" s="29">
        <f>'Thang_10'!Q16+J16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'Thang_10'!K17+D17</f>
        <v/>
      </c>
      <c r="L17" s="30">
        <f>IF(K17&gt;0, M17/K17, 0)</f>
        <v/>
      </c>
      <c r="M17" s="29">
        <f>'Thang_10'!M17+F17</f>
        <v/>
      </c>
      <c r="N17" s="29">
        <f>'Thang_10'!N17+G17</f>
        <v/>
      </c>
      <c r="O17" s="29">
        <f>'Thang_10'!O17+H17</f>
        <v/>
      </c>
      <c r="P17" s="29">
        <f>'Thang_10'!P17+I17</f>
        <v/>
      </c>
      <c r="Q17" s="29">
        <f>'Thang_10'!Q17+J17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'Thang_10'!Q18+J18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'Thang_10'!K19+D19</f>
        <v/>
      </c>
      <c r="L19" s="30">
        <f>IF(K19&gt;0, M19/K19, 0)</f>
        <v/>
      </c>
      <c r="M19" s="29">
        <f>'Thang_10'!M19+F19</f>
        <v/>
      </c>
      <c r="N19" s="29">
        <f>'Thang_10'!N19+G19</f>
        <v/>
      </c>
      <c r="O19" s="29">
        <f>'Thang_10'!O19+H19</f>
        <v/>
      </c>
      <c r="P19" s="29">
        <f>'Thang_10'!P19+I19</f>
        <v/>
      </c>
      <c r="Q19" s="29">
        <f>'Thang_10'!Q19+J19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'Thang_10'!K20+D20</f>
        <v/>
      </c>
      <c r="L20" s="30">
        <f>IF(K20&gt;0, M20/K20, 0)</f>
        <v/>
      </c>
      <c r="M20" s="29">
        <f>'Thang_10'!M20+F20</f>
        <v/>
      </c>
      <c r="N20" s="29">
        <f>'Thang_10'!N20+G20</f>
        <v/>
      </c>
      <c r="O20" s="29">
        <f>'Thang_10'!O20+H20</f>
        <v/>
      </c>
      <c r="P20" s="29">
        <f>'Thang_10'!P20+I20</f>
        <v/>
      </c>
      <c r="Q20" s="29">
        <f>'Thang_10'!Q20+J20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'Thang_10'!K21+D21</f>
        <v/>
      </c>
      <c r="L21" s="30">
        <f>IF(K21&gt;0, M21/K21, 0)</f>
        <v/>
      </c>
      <c r="M21" s="29">
        <f>'Thang_10'!M21+F21</f>
        <v/>
      </c>
      <c r="N21" s="29">
        <f>'Thang_10'!N21+G21</f>
        <v/>
      </c>
      <c r="O21" s="29">
        <f>'Thang_10'!O21+H21</f>
        <v/>
      </c>
      <c r="P21" s="29">
        <f>'Thang_10'!P21+I21</f>
        <v/>
      </c>
      <c r="Q21" s="29">
        <f>'Thang_10'!Q21+J21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'Thang_10'!K22+D22</f>
        <v/>
      </c>
      <c r="L22" s="30">
        <f>IF(K22&gt;0, M22/K22, 0)</f>
        <v/>
      </c>
      <c r="M22" s="29">
        <f>'Thang_10'!M22+F22</f>
        <v/>
      </c>
      <c r="N22" s="29">
        <f>'Thang_10'!N22+G22</f>
        <v/>
      </c>
      <c r="O22" s="29">
        <f>'Thang_10'!O22+H22</f>
        <v/>
      </c>
      <c r="P22" s="29">
        <f>'Thang_10'!P22+I22</f>
        <v/>
      </c>
      <c r="Q22" s="29">
        <f>'Thang_10'!Q22+J22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'Thang_10'!K23+D23</f>
        <v/>
      </c>
      <c r="L23" s="20">
        <f>IF(K23&gt;0, M23/K23, 0)</f>
        <v/>
      </c>
      <c r="M23" s="19">
        <f>'Thang_10'!M23+F23</f>
        <v/>
      </c>
      <c r="N23" s="19">
        <f>'Thang_10'!N23+G23</f>
        <v/>
      </c>
      <c r="O23" s="19">
        <f>'Thang_10'!O23+H23</f>
        <v/>
      </c>
      <c r="P23" s="19">
        <f>'Thang_10'!P23+I23</f>
        <v/>
      </c>
      <c r="Q23" s="19">
        <f>'Thang_10'!Q23+J23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'Thang_10'!Q24+J24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'Thang_10'!K25+D25</f>
        <v/>
      </c>
      <c r="L25" s="30">
        <f>IF(K25&gt;0, M25/K25, 0)</f>
        <v/>
      </c>
      <c r="M25" s="29">
        <f>'Thang_10'!M25+F25</f>
        <v/>
      </c>
      <c r="N25" s="29">
        <f>'Thang_10'!N25+G25</f>
        <v/>
      </c>
      <c r="O25" s="29">
        <f>'Thang_10'!O25+H25</f>
        <v/>
      </c>
      <c r="P25" s="29">
        <f>'Thang_10'!P25+I25</f>
        <v/>
      </c>
      <c r="Q25" s="29">
        <f>'Thang_10'!Q25+J25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'Thang_10'!K26+D26</f>
        <v/>
      </c>
      <c r="L26" s="30">
        <f>IF(K26&gt;0, M26/K26, 0)</f>
        <v/>
      </c>
      <c r="M26" s="29">
        <f>'Thang_10'!M26+F26</f>
        <v/>
      </c>
      <c r="N26" s="29">
        <f>'Thang_10'!N26+G26</f>
        <v/>
      </c>
      <c r="O26" s="29">
        <f>'Thang_10'!O26+H26</f>
        <v/>
      </c>
      <c r="P26" s="29">
        <f>'Thang_10'!P26+I26</f>
        <v/>
      </c>
      <c r="Q26" s="29">
        <f>'Thang_10'!Q26+J26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'Thang_10'!Q27+J27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'Thang_10'!Q28+J28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'Thang_10'!K29+D29</f>
        <v/>
      </c>
      <c r="L29" s="30">
        <f>IF(K29&gt;0, M29/K29, 0)</f>
        <v/>
      </c>
      <c r="M29" s="29">
        <f>'Thang_10'!M29+F29</f>
        <v/>
      </c>
      <c r="N29" s="29">
        <f>'Thang_10'!N29+G29</f>
        <v/>
      </c>
      <c r="O29" s="29">
        <f>'Thang_10'!O29+H29</f>
        <v/>
      </c>
      <c r="P29" s="29">
        <f>'Thang_10'!P29+I29</f>
        <v/>
      </c>
      <c r="Q29" s="29">
        <f>'Thang_10'!Q29+J29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'Thang_10'!K30+D30</f>
        <v/>
      </c>
      <c r="L30" s="30">
        <f>IF(K30&gt;0, M30/K30, 0)</f>
        <v/>
      </c>
      <c r="M30" s="29">
        <f>'Thang_10'!M30+F30</f>
        <v/>
      </c>
      <c r="N30" s="29">
        <f>'Thang_10'!N30+G30</f>
        <v/>
      </c>
      <c r="O30" s="29">
        <f>'Thang_10'!O30+H30</f>
        <v/>
      </c>
      <c r="P30" s="29">
        <f>'Thang_10'!P30+I30</f>
        <v/>
      </c>
      <c r="Q30" s="29">
        <f>'Thang_10'!Q30+J30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'Thang_10'!K31+D31</f>
        <v/>
      </c>
      <c r="L31" s="30">
        <f>IF(K31&gt;0, M31/K31, 0)</f>
        <v/>
      </c>
      <c r="M31" s="29">
        <f>'Thang_10'!M31+F31</f>
        <v/>
      </c>
      <c r="N31" s="29">
        <f>'Thang_10'!N31+G31</f>
        <v/>
      </c>
      <c r="O31" s="29">
        <f>'Thang_10'!O31+H31</f>
        <v/>
      </c>
      <c r="P31" s="29">
        <f>'Thang_10'!P31+I31</f>
        <v/>
      </c>
      <c r="Q31" s="29">
        <f>'Thang_10'!Q31+J31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'Thang_10'!K32+D32</f>
        <v/>
      </c>
      <c r="L32" s="30">
        <f>IF(K32&gt;0, M32/K32, 0)</f>
        <v/>
      </c>
      <c r="M32" s="29">
        <f>'Thang_10'!M32+F32</f>
        <v/>
      </c>
      <c r="N32" s="29">
        <f>'Thang_10'!N32+G32</f>
        <v/>
      </c>
      <c r="O32" s="29">
        <f>'Thang_10'!O32+H32</f>
        <v/>
      </c>
      <c r="P32" s="29">
        <f>'Thang_10'!P32+I32</f>
        <v/>
      </c>
      <c r="Q32" s="29">
        <f>'Thang_10'!Q32+J32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'Thang_10'!Q33+J33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'Thang_10'!K34+D34</f>
        <v/>
      </c>
      <c r="L34" s="30">
        <f>IF(K34&gt;0, M34/K34, 0)</f>
        <v/>
      </c>
      <c r="M34" s="29">
        <f>'Thang_10'!M34+F34</f>
        <v/>
      </c>
      <c r="N34" s="29">
        <f>'Thang_10'!N34+G34</f>
        <v/>
      </c>
      <c r="O34" s="29">
        <f>'Thang_10'!O34+H34</f>
        <v/>
      </c>
      <c r="P34" s="29">
        <f>'Thang_10'!P34+I34</f>
        <v/>
      </c>
      <c r="Q34" s="29">
        <f>'Thang_10'!Q34+J34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'Thang_10'!K35+D35</f>
        <v/>
      </c>
      <c r="L35" s="30">
        <f>IF(K35&gt;0, M35/K35, 0)</f>
        <v/>
      </c>
      <c r="M35" s="29">
        <f>'Thang_10'!M35+F35</f>
        <v/>
      </c>
      <c r="N35" s="29">
        <f>'Thang_10'!N35+G35</f>
        <v/>
      </c>
      <c r="O35" s="29">
        <f>'Thang_10'!O35+H35</f>
        <v/>
      </c>
      <c r="P35" s="29">
        <f>'Thang_10'!P35+I35</f>
        <v/>
      </c>
      <c r="Q35" s="29">
        <f>'Thang_10'!Q35+J35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'Thang_10'!K36+D36</f>
        <v/>
      </c>
      <c r="L36" s="30">
        <f>IF(K36&gt;0, M36/K36, 0)</f>
        <v/>
      </c>
      <c r="M36" s="29">
        <f>'Thang_10'!M36+F36</f>
        <v/>
      </c>
      <c r="N36" s="29">
        <f>'Thang_10'!N36+G36</f>
        <v/>
      </c>
      <c r="O36" s="29">
        <f>'Thang_10'!O36+H36</f>
        <v/>
      </c>
      <c r="P36" s="29">
        <f>'Thang_10'!P36+I36</f>
        <v/>
      </c>
      <c r="Q36" s="29">
        <f>'Thang_10'!Q36+J36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'Thang_10'!Q37+J37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'Thang_10'!K38+D38</f>
        <v/>
      </c>
      <c r="L38" s="30">
        <f>IF(K38&gt;0, M38/K38, 0)</f>
        <v/>
      </c>
      <c r="M38" s="29">
        <f>'Thang_10'!M38+F38</f>
        <v/>
      </c>
      <c r="N38" s="29">
        <f>'Thang_10'!N38+G38</f>
        <v/>
      </c>
      <c r="O38" s="29">
        <f>'Thang_10'!O38+H38</f>
        <v/>
      </c>
      <c r="P38" s="29">
        <f>'Thang_10'!P38+I38</f>
        <v/>
      </c>
      <c r="Q38" s="29">
        <f>'Thang_10'!Q38+J38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'Thang_10'!K39+D39</f>
        <v/>
      </c>
      <c r="L39" s="30">
        <f>IF(K39&gt;0, M39/K39, 0)</f>
        <v/>
      </c>
      <c r="M39" s="29">
        <f>'Thang_10'!M39+F39</f>
        <v/>
      </c>
      <c r="N39" s="29">
        <f>'Thang_10'!N39+G39</f>
        <v/>
      </c>
      <c r="O39" s="29">
        <f>'Thang_10'!O39+H39</f>
        <v/>
      </c>
      <c r="P39" s="29">
        <f>'Thang_10'!P39+I39</f>
        <v/>
      </c>
      <c r="Q39" s="29">
        <f>'Thang_10'!Q39+J39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'Thang_10'!K40+D40</f>
        <v/>
      </c>
      <c r="L40" s="30">
        <f>IF(K40&gt;0, M40/K40, 0)</f>
        <v/>
      </c>
      <c r="M40" s="29">
        <f>'Thang_10'!M40+F40</f>
        <v/>
      </c>
      <c r="N40" s="29">
        <f>'Thang_10'!N40+G40</f>
        <v/>
      </c>
      <c r="O40" s="29">
        <f>'Thang_10'!O40+H40</f>
        <v/>
      </c>
      <c r="P40" s="29">
        <f>'Thang_10'!P40+I40</f>
        <v/>
      </c>
      <c r="Q40" s="29">
        <f>'Thang_10'!Q40+J40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'Thang_10'!K41+D41</f>
        <v/>
      </c>
      <c r="L41" s="30">
        <f>IF(K41&gt;0, M41/K41, 0)</f>
        <v/>
      </c>
      <c r="M41" s="29">
        <f>'Thang_10'!M41+F41</f>
        <v/>
      </c>
      <c r="N41" s="29">
        <f>'Thang_10'!N41+G41</f>
        <v/>
      </c>
      <c r="O41" s="29">
        <f>'Thang_10'!O41+H41</f>
        <v/>
      </c>
      <c r="P41" s="29">
        <f>'Thang_10'!P41+I41</f>
        <v/>
      </c>
      <c r="Q41" s="29">
        <f>'Thang_10'!Q41+J41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'Thang_10'!K42+D42</f>
        <v/>
      </c>
      <c r="L42" s="30">
        <f>IF(K42&gt;0, M42/K42, 0)</f>
        <v/>
      </c>
      <c r="M42" s="29">
        <f>'Thang_10'!M42+F42</f>
        <v/>
      </c>
      <c r="N42" s="29">
        <f>'Thang_10'!N42+G42</f>
        <v/>
      </c>
      <c r="O42" s="29">
        <f>'Thang_10'!O42+H42</f>
        <v/>
      </c>
      <c r="P42" s="29">
        <f>'Thang_10'!P42+I42</f>
        <v/>
      </c>
      <c r="Q42" s="29">
        <f>'Thang_10'!Q42+J42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'Thang_10'!K43+D43</f>
        <v/>
      </c>
      <c r="L43" s="30">
        <f>IF(K43&gt;0, M43/K43, 0)</f>
        <v/>
      </c>
      <c r="M43" s="29">
        <f>'Thang_10'!M43+F43</f>
        <v/>
      </c>
      <c r="N43" s="29">
        <f>'Thang_10'!N43+G43</f>
        <v/>
      </c>
      <c r="O43" s="29">
        <f>'Thang_10'!O43+H43</f>
        <v/>
      </c>
      <c r="P43" s="29">
        <f>'Thang_10'!P43+I43</f>
        <v/>
      </c>
      <c r="Q43" s="29">
        <f>'Thang_10'!Q43+J43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'Thang_10'!K44+D44</f>
        <v/>
      </c>
      <c r="L44" s="30">
        <f>IF(K44&gt;0, M44/K44, 0)</f>
        <v/>
      </c>
      <c r="M44" s="29">
        <f>'Thang_10'!M44+F44</f>
        <v/>
      </c>
      <c r="N44" s="29">
        <f>'Thang_10'!N44+G44</f>
        <v/>
      </c>
      <c r="O44" s="29">
        <f>'Thang_10'!O44+H44</f>
        <v/>
      </c>
      <c r="P44" s="29">
        <f>'Thang_10'!P44+I44</f>
        <v/>
      </c>
      <c r="Q44" s="29">
        <f>'Thang_10'!Q44+J44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'Thang_10'!Q45+J45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12/2026 VÀ LŨY KẾ 12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12</t>
        </is>
      </c>
      <c r="K5" s="10" t="inlineStr">
        <is>
          <t>LŨY KẾ 12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>
        <f>D8+D18+D23+D24+D27</f>
        <v/>
      </c>
      <c r="E7" s="15">
        <f>IF(D7&gt;0, F7/D7, 0)</f>
        <v/>
      </c>
      <c r="F7" s="14">
        <f>F8+F18+F23+F24+F27</f>
        <v/>
      </c>
      <c r="G7" s="14">
        <f>G8+G18+G23+G24+G27</f>
        <v/>
      </c>
      <c r="H7" s="14">
        <f>H8+H18+H23+H24+H27</f>
        <v/>
      </c>
      <c r="I7" s="14">
        <f>I8+I18+I23+I24+I27</f>
        <v/>
      </c>
      <c r="J7" s="14">
        <f>J8+J18+J23+J24+J27</f>
        <v/>
      </c>
      <c r="K7" s="14">
        <f>K8+K18+K23+K24+K27</f>
        <v/>
      </c>
      <c r="L7" s="15">
        <f>IF(K7&gt;0, M7/K7, 0)</f>
        <v/>
      </c>
      <c r="M7" s="14">
        <f>M8+M18+M23+M24+M27</f>
        <v/>
      </c>
      <c r="N7" s="14">
        <f>N8+N18+N23+N24+N27</f>
        <v/>
      </c>
      <c r="O7" s="14">
        <f>O8+O18+O23+O24+O27</f>
        <v/>
      </c>
      <c r="P7" s="14">
        <f>P8+P18+P23+P24+P27</f>
        <v/>
      </c>
      <c r="Q7" s="14">
        <f>'Thang_11'!Q7+J7</f>
        <v/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>
        <f>D9+D15+D16+D17</f>
        <v/>
      </c>
      <c r="E8" s="20">
        <f>IF(D8&gt;0, F8/D8, 0)</f>
        <v/>
      </c>
      <c r="F8" s="19">
        <f>F9+F15+F16+F17</f>
        <v/>
      </c>
      <c r="G8" s="19">
        <f>G9+G15+G16+G17</f>
        <v/>
      </c>
      <c r="H8" s="19">
        <f>H9+H15+H16+H17</f>
        <v/>
      </c>
      <c r="I8" s="19">
        <f>I9+I15+I16+I17</f>
        <v/>
      </c>
      <c r="J8" s="19">
        <f>J9+J15+J16+J17</f>
        <v/>
      </c>
      <c r="K8" s="19">
        <f>K9+K15+K16+K17</f>
        <v/>
      </c>
      <c r="L8" s="20">
        <f>IF(K8&gt;0, M8/K8, 0)</f>
        <v/>
      </c>
      <c r="M8" s="19">
        <f>M9+M15+M16+M17</f>
        <v/>
      </c>
      <c r="N8" s="19">
        <f>N9+N15+N16+N17</f>
        <v/>
      </c>
      <c r="O8" s="19">
        <f>O9+O15+O16+O17</f>
        <v/>
      </c>
      <c r="P8" s="19">
        <f>P9+P15+P16+P17</f>
        <v/>
      </c>
      <c r="Q8" s="19">
        <f>'Thang_11'!Q8+J8</f>
        <v/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>
        <f>SUM(D10:D14)</f>
        <v/>
      </c>
      <c r="E9" s="25">
        <f>IF(D9&gt;0, F9/D9, 0)</f>
        <v/>
      </c>
      <c r="F9" s="24">
        <f>SUM(F10:F14)</f>
        <v/>
      </c>
      <c r="G9" s="24">
        <f>SUM(G10:G14)</f>
        <v/>
      </c>
      <c r="H9" s="24">
        <f>SUM(H10:H14)</f>
        <v/>
      </c>
      <c r="I9" s="24">
        <f>SUM(I10:I14)</f>
        <v/>
      </c>
      <c r="J9" s="24">
        <f>F9+G9-H9+I9</f>
        <v/>
      </c>
      <c r="K9" s="24">
        <f>SUM(K10:K14)</f>
        <v/>
      </c>
      <c r="L9" s="25">
        <f>IF(K9&gt;0, M9/K9, 0)</f>
        <v/>
      </c>
      <c r="M9" s="24">
        <f>SUM(M10:M14)</f>
        <v/>
      </c>
      <c r="N9" s="24">
        <f>SUM(N10:N14)</f>
        <v/>
      </c>
      <c r="O9" s="24">
        <f>SUM(O10:O14)</f>
        <v/>
      </c>
      <c r="P9" s="24">
        <f>SUM(P10:P14)</f>
        <v/>
      </c>
      <c r="Q9" s="24">
        <f>'Thang_11'!Q9+J9</f>
        <v/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40" t="inlineStr"/>
      <c r="E10" s="30">
        <f>IF(D10&gt;0, F10/D10, 0)</f>
        <v/>
      </c>
      <c r="F10" s="40" t="inlineStr"/>
      <c r="G10" s="40" t="inlineStr"/>
      <c r="H10" s="40" t="inlineStr"/>
      <c r="I10" s="40" t="inlineStr"/>
      <c r="J10" s="29">
        <f>F10+G10-H10+I10</f>
        <v/>
      </c>
      <c r="K10" s="29">
        <f>'Thang_11'!K10+D10</f>
        <v/>
      </c>
      <c r="L10" s="30">
        <f>IF(K10&gt;0, M10/K10, 0)</f>
        <v/>
      </c>
      <c r="M10" s="29">
        <f>'Thang_11'!M10+F10</f>
        <v/>
      </c>
      <c r="N10" s="29">
        <f>'Thang_11'!N10+G10</f>
        <v/>
      </c>
      <c r="O10" s="29">
        <f>'Thang_11'!O10+H10</f>
        <v/>
      </c>
      <c r="P10" s="29">
        <f>'Thang_11'!P10+I10</f>
        <v/>
      </c>
      <c r="Q10" s="29">
        <f>'Thang_11'!Q10+J10</f>
        <v/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40" t="inlineStr"/>
      <c r="E11" s="30">
        <f>IF(D11&gt;0, F11/D11, 0)</f>
        <v/>
      </c>
      <c r="F11" s="40" t="inlineStr"/>
      <c r="G11" s="40" t="inlineStr"/>
      <c r="H11" s="40" t="inlineStr"/>
      <c r="I11" s="40" t="inlineStr"/>
      <c r="J11" s="29">
        <f>F11+G11-H11+I11</f>
        <v/>
      </c>
      <c r="K11" s="29">
        <f>'Thang_11'!K11+D11</f>
        <v/>
      </c>
      <c r="L11" s="30">
        <f>IF(K11&gt;0, M11/K11, 0)</f>
        <v/>
      </c>
      <c r="M11" s="29">
        <f>'Thang_11'!M11+F11</f>
        <v/>
      </c>
      <c r="N11" s="29">
        <f>'Thang_11'!N11+G11</f>
        <v/>
      </c>
      <c r="O11" s="29">
        <f>'Thang_11'!O11+H11</f>
        <v/>
      </c>
      <c r="P11" s="29">
        <f>'Thang_11'!P11+I11</f>
        <v/>
      </c>
      <c r="Q11" s="29">
        <f>'Thang_11'!Q11+J11</f>
        <v/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40" t="inlineStr"/>
      <c r="E12" s="30">
        <f>IF(D12&gt;0, F12/D12, 0)</f>
        <v/>
      </c>
      <c r="F12" s="40" t="inlineStr"/>
      <c r="G12" s="40" t="inlineStr"/>
      <c r="H12" s="40" t="inlineStr"/>
      <c r="I12" s="40" t="inlineStr"/>
      <c r="J12" s="29">
        <f>F12+G12-H12+I12</f>
        <v/>
      </c>
      <c r="K12" s="29">
        <f>'Thang_11'!K12+D12</f>
        <v/>
      </c>
      <c r="L12" s="30">
        <f>IF(K12&gt;0, M12/K12, 0)</f>
        <v/>
      </c>
      <c r="M12" s="29">
        <f>'Thang_11'!M12+F12</f>
        <v/>
      </c>
      <c r="N12" s="29">
        <f>'Thang_11'!N12+G12</f>
        <v/>
      </c>
      <c r="O12" s="29">
        <f>'Thang_11'!O12+H12</f>
        <v/>
      </c>
      <c r="P12" s="29">
        <f>'Thang_11'!P12+I12</f>
        <v/>
      </c>
      <c r="Q12" s="29">
        <f>'Thang_11'!Q12+J12</f>
        <v/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40" t="inlineStr"/>
      <c r="E13" s="30">
        <f>IF(D13&gt;0, F13/D13, 0)</f>
        <v/>
      </c>
      <c r="F13" s="40" t="inlineStr"/>
      <c r="G13" s="40" t="inlineStr"/>
      <c r="H13" s="40" t="inlineStr"/>
      <c r="I13" s="40" t="inlineStr"/>
      <c r="J13" s="29">
        <f>F13+G13-H13+I13</f>
        <v/>
      </c>
      <c r="K13" s="29">
        <f>'Thang_11'!K13+D13</f>
        <v/>
      </c>
      <c r="L13" s="30">
        <f>IF(K13&gt;0, M13/K13, 0)</f>
        <v/>
      </c>
      <c r="M13" s="29">
        <f>'Thang_11'!M13+F13</f>
        <v/>
      </c>
      <c r="N13" s="29">
        <f>'Thang_11'!N13+G13</f>
        <v/>
      </c>
      <c r="O13" s="29">
        <f>'Thang_11'!O13+H13</f>
        <v/>
      </c>
      <c r="P13" s="29">
        <f>'Thang_11'!P13+I13</f>
        <v/>
      </c>
      <c r="Q13" s="29">
        <f>'Thang_11'!Q13+J13</f>
        <v/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40" t="inlineStr"/>
      <c r="E14" s="30">
        <f>IF(D14&gt;0, F14/D14, 0)</f>
        <v/>
      </c>
      <c r="F14" s="40" t="inlineStr"/>
      <c r="G14" s="40" t="inlineStr"/>
      <c r="H14" s="40" t="inlineStr"/>
      <c r="I14" s="40" t="inlineStr"/>
      <c r="J14" s="29">
        <f>F14+G14-H14+I14</f>
        <v/>
      </c>
      <c r="K14" s="29">
        <f>'Thang_11'!K14+D14</f>
        <v/>
      </c>
      <c r="L14" s="30">
        <f>IF(K14&gt;0, M14/K14, 0)</f>
        <v/>
      </c>
      <c r="M14" s="29">
        <f>'Thang_11'!M14+F14</f>
        <v/>
      </c>
      <c r="N14" s="29">
        <f>'Thang_11'!N14+G14</f>
        <v/>
      </c>
      <c r="O14" s="29">
        <f>'Thang_11'!O14+H14</f>
        <v/>
      </c>
      <c r="P14" s="29">
        <f>'Thang_11'!P14+I14</f>
        <v/>
      </c>
      <c r="Q14" s="29">
        <f>'Thang_11'!Q14+J14</f>
        <v/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40" t="inlineStr"/>
      <c r="E15" s="30">
        <f>IF(D15&gt;0, F15/D15, 0)</f>
        <v/>
      </c>
      <c r="F15" s="40" t="inlineStr"/>
      <c r="G15" s="40" t="inlineStr"/>
      <c r="H15" s="40" t="inlineStr"/>
      <c r="I15" s="40" t="inlineStr"/>
      <c r="J15" s="29">
        <f>F15+G15-H15+I15</f>
        <v/>
      </c>
      <c r="K15" s="29">
        <f>'Thang_11'!K15+D15</f>
        <v/>
      </c>
      <c r="L15" s="30">
        <f>IF(K15&gt;0, M15/K15, 0)</f>
        <v/>
      </c>
      <c r="M15" s="29">
        <f>'Thang_11'!M15+F15</f>
        <v/>
      </c>
      <c r="N15" s="29">
        <f>'Thang_11'!N15+G15</f>
        <v/>
      </c>
      <c r="O15" s="29">
        <f>'Thang_11'!O15+H15</f>
        <v/>
      </c>
      <c r="P15" s="29">
        <f>'Thang_11'!P15+I15</f>
        <v/>
      </c>
      <c r="Q15" s="29">
        <f>'Thang_11'!Q15+J15</f>
        <v/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40" t="inlineStr"/>
      <c r="E16" s="30">
        <f>IF(D16&gt;0, F16/D16, 0)</f>
        <v/>
      </c>
      <c r="F16" s="40" t="inlineStr"/>
      <c r="G16" s="40" t="inlineStr"/>
      <c r="H16" s="40" t="inlineStr"/>
      <c r="I16" s="40" t="inlineStr"/>
      <c r="J16" s="29">
        <f>F16+G16-H16+I16</f>
        <v/>
      </c>
      <c r="K16" s="29">
        <f>'Thang_11'!K16+D16</f>
        <v/>
      </c>
      <c r="L16" s="30">
        <f>IF(K16&gt;0, M16/K16, 0)</f>
        <v/>
      </c>
      <c r="M16" s="29">
        <f>'Thang_11'!M16+F16</f>
        <v/>
      </c>
      <c r="N16" s="29">
        <f>'Thang_11'!N16+G16</f>
        <v/>
      </c>
      <c r="O16" s="29">
        <f>'Thang_11'!O16+H16</f>
        <v/>
      </c>
      <c r="P16" s="29">
        <f>'Thang_11'!P16+I16</f>
        <v/>
      </c>
      <c r="Q16" s="29">
        <f>'Thang_11'!Q16+J16</f>
        <v/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40" t="inlineStr"/>
      <c r="E17" s="30">
        <f>IF(D17&gt;0, F17/D17, 0)</f>
        <v/>
      </c>
      <c r="F17" s="40" t="inlineStr"/>
      <c r="G17" s="40" t="inlineStr"/>
      <c r="H17" s="40" t="inlineStr"/>
      <c r="I17" s="40" t="inlineStr"/>
      <c r="J17" s="29">
        <f>F17+G17-H17+I17</f>
        <v/>
      </c>
      <c r="K17" s="29">
        <f>'Thang_11'!K17+D17</f>
        <v/>
      </c>
      <c r="L17" s="30">
        <f>IF(K17&gt;0, M17/K17, 0)</f>
        <v/>
      </c>
      <c r="M17" s="29">
        <f>'Thang_11'!M17+F17</f>
        <v/>
      </c>
      <c r="N17" s="29">
        <f>'Thang_11'!N17+G17</f>
        <v/>
      </c>
      <c r="O17" s="29">
        <f>'Thang_11'!O17+H17</f>
        <v/>
      </c>
      <c r="P17" s="29">
        <f>'Thang_11'!P17+I17</f>
        <v/>
      </c>
      <c r="Q17" s="29">
        <f>'Thang_11'!Q17+J17</f>
        <v/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>
        <f>SUM(D19:D22)</f>
        <v/>
      </c>
      <c r="E18" s="20">
        <f>IF(D18&gt;0, F18/D18, 0)</f>
        <v/>
      </c>
      <c r="F18" s="19">
        <f>SUM(F19:F22)</f>
        <v/>
      </c>
      <c r="G18" s="19">
        <f>SUM(G19:G22)</f>
        <v/>
      </c>
      <c r="H18" s="19">
        <f>SUM(H19:H22)</f>
        <v/>
      </c>
      <c r="I18" s="19">
        <f>SUM(I19:I22)</f>
        <v/>
      </c>
      <c r="J18" s="19">
        <f>SUM(J19:J22)</f>
        <v/>
      </c>
      <c r="K18" s="19">
        <f>SUM(K19:K22)</f>
        <v/>
      </c>
      <c r="L18" s="20">
        <f>IF(K18&gt;0, M18/K18, 0)</f>
        <v/>
      </c>
      <c r="M18" s="19">
        <f>SUM(M19:M22)</f>
        <v/>
      </c>
      <c r="N18" s="19">
        <f>SUM(N19:N22)</f>
        <v/>
      </c>
      <c r="O18" s="19">
        <f>SUM(O19:O22)</f>
        <v/>
      </c>
      <c r="P18" s="19">
        <f>SUM(P19:P22)</f>
        <v/>
      </c>
      <c r="Q18" s="19">
        <f>'Thang_11'!Q18+J18</f>
        <v/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40" t="inlineStr"/>
      <c r="E19" s="30">
        <f>IF(D19&gt;0, F19/D19, 0)</f>
        <v/>
      </c>
      <c r="F19" s="40" t="inlineStr"/>
      <c r="G19" s="40" t="inlineStr"/>
      <c r="H19" s="40" t="inlineStr"/>
      <c r="I19" s="40" t="inlineStr"/>
      <c r="J19" s="29">
        <f>F19+G19-H19+I19</f>
        <v/>
      </c>
      <c r="K19" s="29">
        <f>'Thang_11'!K19+D19</f>
        <v/>
      </c>
      <c r="L19" s="30">
        <f>IF(K19&gt;0, M19/K19, 0)</f>
        <v/>
      </c>
      <c r="M19" s="29">
        <f>'Thang_11'!M19+F19</f>
        <v/>
      </c>
      <c r="N19" s="29">
        <f>'Thang_11'!N19+G19</f>
        <v/>
      </c>
      <c r="O19" s="29">
        <f>'Thang_11'!O19+H19</f>
        <v/>
      </c>
      <c r="P19" s="29">
        <f>'Thang_11'!P19+I19</f>
        <v/>
      </c>
      <c r="Q19" s="29">
        <f>'Thang_11'!Q19+J19</f>
        <v/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40" t="inlineStr"/>
      <c r="E20" s="30">
        <f>IF(D20&gt;0, F20/D20, 0)</f>
        <v/>
      </c>
      <c r="F20" s="40" t="inlineStr"/>
      <c r="G20" s="40" t="inlineStr"/>
      <c r="H20" s="40" t="inlineStr"/>
      <c r="I20" s="40" t="inlineStr"/>
      <c r="J20" s="29">
        <f>F20+G20-H20+I20</f>
        <v/>
      </c>
      <c r="K20" s="29">
        <f>'Thang_11'!K20+D20</f>
        <v/>
      </c>
      <c r="L20" s="30">
        <f>IF(K20&gt;0, M20/K20, 0)</f>
        <v/>
      </c>
      <c r="M20" s="29">
        <f>'Thang_11'!M20+F20</f>
        <v/>
      </c>
      <c r="N20" s="29">
        <f>'Thang_11'!N20+G20</f>
        <v/>
      </c>
      <c r="O20" s="29">
        <f>'Thang_11'!O20+H20</f>
        <v/>
      </c>
      <c r="P20" s="29">
        <f>'Thang_11'!P20+I20</f>
        <v/>
      </c>
      <c r="Q20" s="29">
        <f>'Thang_11'!Q20+J20</f>
        <v/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40" t="inlineStr"/>
      <c r="E21" s="30">
        <f>IF(D21&gt;0, F21/D21, 0)</f>
        <v/>
      </c>
      <c r="F21" s="40" t="inlineStr"/>
      <c r="G21" s="40" t="inlineStr"/>
      <c r="H21" s="40" t="inlineStr"/>
      <c r="I21" s="40" t="inlineStr"/>
      <c r="J21" s="29">
        <f>F21+G21-H21+I21</f>
        <v/>
      </c>
      <c r="K21" s="29">
        <f>'Thang_11'!K21+D21</f>
        <v/>
      </c>
      <c r="L21" s="30">
        <f>IF(K21&gt;0, M21/K21, 0)</f>
        <v/>
      </c>
      <c r="M21" s="29">
        <f>'Thang_11'!M21+F21</f>
        <v/>
      </c>
      <c r="N21" s="29">
        <f>'Thang_11'!N21+G21</f>
        <v/>
      </c>
      <c r="O21" s="29">
        <f>'Thang_11'!O21+H21</f>
        <v/>
      </c>
      <c r="P21" s="29">
        <f>'Thang_11'!P21+I21</f>
        <v/>
      </c>
      <c r="Q21" s="29">
        <f>'Thang_11'!Q21+J21</f>
        <v/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40" t="inlineStr"/>
      <c r="E22" s="30">
        <f>IF(D22&gt;0, F22/D22, 0)</f>
        <v/>
      </c>
      <c r="F22" s="40" t="inlineStr"/>
      <c r="G22" s="40" t="inlineStr"/>
      <c r="H22" s="40" t="inlineStr"/>
      <c r="I22" s="40" t="inlineStr"/>
      <c r="J22" s="29">
        <f>F22+G22-H22+I22</f>
        <v/>
      </c>
      <c r="K22" s="29">
        <f>'Thang_11'!K22+D22</f>
        <v/>
      </c>
      <c r="L22" s="30">
        <f>IF(K22&gt;0, M22/K22, 0)</f>
        <v/>
      </c>
      <c r="M22" s="29">
        <f>'Thang_11'!M22+F22</f>
        <v/>
      </c>
      <c r="N22" s="29">
        <f>'Thang_11'!N22+G22</f>
        <v/>
      </c>
      <c r="O22" s="29">
        <f>'Thang_11'!O22+H22</f>
        <v/>
      </c>
      <c r="P22" s="29">
        <f>'Thang_11'!P22+I22</f>
        <v/>
      </c>
      <c r="Q22" s="29">
        <f>'Thang_11'!Q22+J22</f>
        <v/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inlineStr"/>
      <c r="E23" s="20">
        <f>IF(D23&gt;0, F23/D23, 0)</f>
        <v/>
      </c>
      <c r="F23" s="19" t="inlineStr"/>
      <c r="G23" s="19" t="inlineStr"/>
      <c r="H23" s="19" t="inlineStr"/>
      <c r="I23" s="19" t="inlineStr"/>
      <c r="J23" s="19">
        <f>F23+G23-H23+I23</f>
        <v/>
      </c>
      <c r="K23" s="19">
        <f>'Thang_11'!K23+D23</f>
        <v/>
      </c>
      <c r="L23" s="20">
        <f>IF(K23&gt;0, M23/K23, 0)</f>
        <v/>
      </c>
      <c r="M23" s="19">
        <f>'Thang_11'!M23+F23</f>
        <v/>
      </c>
      <c r="N23" s="19">
        <f>'Thang_11'!N23+G23</f>
        <v/>
      </c>
      <c r="O23" s="19">
        <f>'Thang_11'!O23+H23</f>
        <v/>
      </c>
      <c r="P23" s="19">
        <f>'Thang_11'!P23+I23</f>
        <v/>
      </c>
      <c r="Q23" s="19">
        <f>'Thang_11'!Q23+J23</f>
        <v/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>
        <f>SUM(D25:D26)</f>
        <v/>
      </c>
      <c r="E24" s="20">
        <f>IF(D24&gt;0, F24/D24, 0)</f>
        <v/>
      </c>
      <c r="F24" s="19">
        <f>SUM(F25:F26)</f>
        <v/>
      </c>
      <c r="G24" s="19">
        <f>SUM(G25:G26)</f>
        <v/>
      </c>
      <c r="H24" s="19">
        <f>SUM(H25:H26)</f>
        <v/>
      </c>
      <c r="I24" s="19">
        <f>SUM(I25:I26)</f>
        <v/>
      </c>
      <c r="J24" s="19">
        <f>SUM(J25:J26)</f>
        <v/>
      </c>
      <c r="K24" s="19">
        <f>SUM(K25:K26)</f>
        <v/>
      </c>
      <c r="L24" s="20">
        <f>IF(K24&gt;0, M24/K24, 0)</f>
        <v/>
      </c>
      <c r="M24" s="19">
        <f>SUM(M25:M26)</f>
        <v/>
      </c>
      <c r="N24" s="19">
        <f>SUM(N25:N26)</f>
        <v/>
      </c>
      <c r="O24" s="19">
        <f>SUM(O25:O26)</f>
        <v/>
      </c>
      <c r="P24" s="19">
        <f>SUM(P25:P26)</f>
        <v/>
      </c>
      <c r="Q24" s="19">
        <f>'Thang_11'!Q24+J24</f>
        <v/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40" t="inlineStr"/>
      <c r="E25" s="30">
        <f>IF(D25&gt;0, F25/D25, 0)</f>
        <v/>
      </c>
      <c r="F25" s="40" t="inlineStr"/>
      <c r="G25" s="40" t="inlineStr"/>
      <c r="H25" s="40" t="inlineStr"/>
      <c r="I25" s="40" t="inlineStr"/>
      <c r="J25" s="29">
        <f>F25+G25-H25+I25</f>
        <v/>
      </c>
      <c r="K25" s="29">
        <f>'Thang_11'!K25+D25</f>
        <v/>
      </c>
      <c r="L25" s="30">
        <f>IF(K25&gt;0, M25/K25, 0)</f>
        <v/>
      </c>
      <c r="M25" s="29">
        <f>'Thang_11'!M25+F25</f>
        <v/>
      </c>
      <c r="N25" s="29">
        <f>'Thang_11'!N25+G25</f>
        <v/>
      </c>
      <c r="O25" s="29">
        <f>'Thang_11'!O25+H25</f>
        <v/>
      </c>
      <c r="P25" s="29">
        <f>'Thang_11'!P25+I25</f>
        <v/>
      </c>
      <c r="Q25" s="29">
        <f>'Thang_11'!Q25+J25</f>
        <v/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40" t="inlineStr"/>
      <c r="E26" s="30">
        <f>IF(D26&gt;0, F26/D26, 0)</f>
        <v/>
      </c>
      <c r="F26" s="40" t="inlineStr"/>
      <c r="G26" s="40" t="inlineStr"/>
      <c r="H26" s="40" t="inlineStr"/>
      <c r="I26" s="40" t="inlineStr"/>
      <c r="J26" s="29">
        <f>F26+G26-H26+I26</f>
        <v/>
      </c>
      <c r="K26" s="29">
        <f>'Thang_11'!K26+D26</f>
        <v/>
      </c>
      <c r="L26" s="30">
        <f>IF(K26&gt;0, M26/K26, 0)</f>
        <v/>
      </c>
      <c r="M26" s="29">
        <f>'Thang_11'!M26+F26</f>
        <v/>
      </c>
      <c r="N26" s="29">
        <f>'Thang_11'!N26+G26</f>
        <v/>
      </c>
      <c r="O26" s="29">
        <f>'Thang_11'!O26+H26</f>
        <v/>
      </c>
      <c r="P26" s="29">
        <f>'Thang_11'!P26+I26</f>
        <v/>
      </c>
      <c r="Q26" s="29">
        <f>'Thang_11'!Q26+J26</f>
        <v/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>
        <f>D28+D33</f>
        <v/>
      </c>
      <c r="E27" s="20">
        <f>IF(D27&gt;0, F27/D27, 0)</f>
        <v/>
      </c>
      <c r="F27" s="19">
        <f>F28+F33</f>
        <v/>
      </c>
      <c r="G27" s="19">
        <f>G28+G33</f>
        <v/>
      </c>
      <c r="H27" s="19">
        <f>H28+H33</f>
        <v/>
      </c>
      <c r="I27" s="19">
        <f>I28+I33</f>
        <v/>
      </c>
      <c r="J27" s="19">
        <f>J28+J33</f>
        <v/>
      </c>
      <c r="K27" s="19">
        <f>K28+K33</f>
        <v/>
      </c>
      <c r="L27" s="20">
        <f>IF(K27&gt;0, M27/K27, 0)</f>
        <v/>
      </c>
      <c r="M27" s="19">
        <f>M28+M33</f>
        <v/>
      </c>
      <c r="N27" s="19">
        <f>N28+N33</f>
        <v/>
      </c>
      <c r="O27" s="19">
        <f>O28+O33</f>
        <v/>
      </c>
      <c r="P27" s="19">
        <f>P28+P33</f>
        <v/>
      </c>
      <c r="Q27" s="19">
        <f>'Thang_11'!Q27+J27</f>
        <v/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>
        <f>SUM(D29:D32)</f>
        <v/>
      </c>
      <c r="E28" s="25">
        <f>IF(D28&gt;0, F28/D28, 0)</f>
        <v/>
      </c>
      <c r="F28" s="24">
        <f>SUM(F29:F32)</f>
        <v/>
      </c>
      <c r="G28" s="24">
        <f>SUM(G29:G32)</f>
        <v/>
      </c>
      <c r="H28" s="24">
        <f>SUM(H29:H32)</f>
        <v/>
      </c>
      <c r="I28" s="24">
        <f>SUM(I29:I32)</f>
        <v/>
      </c>
      <c r="J28" s="24">
        <f>F28+G28-H28+I28</f>
        <v/>
      </c>
      <c r="K28" s="24">
        <f>SUM(K29:K32)</f>
        <v/>
      </c>
      <c r="L28" s="25">
        <f>IF(K28&gt;0, M28/K28, 0)</f>
        <v/>
      </c>
      <c r="M28" s="24">
        <f>SUM(M29:M32)</f>
        <v/>
      </c>
      <c r="N28" s="24">
        <f>SUM(N29:N32)</f>
        <v/>
      </c>
      <c r="O28" s="24">
        <f>SUM(O29:O32)</f>
        <v/>
      </c>
      <c r="P28" s="24">
        <f>SUM(P29:P32)</f>
        <v/>
      </c>
      <c r="Q28" s="24">
        <f>'Thang_11'!Q28+J28</f>
        <v/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40" t="inlineStr"/>
      <c r="E29" s="30">
        <f>IF(D29&gt;0, F29/D29, 0)</f>
        <v/>
      </c>
      <c r="F29" s="40" t="inlineStr"/>
      <c r="G29" s="40" t="inlineStr"/>
      <c r="H29" s="40" t="inlineStr"/>
      <c r="I29" s="40" t="inlineStr"/>
      <c r="J29" s="29">
        <f>F29+G29-H29+I29</f>
        <v/>
      </c>
      <c r="K29" s="29">
        <f>'Thang_11'!K29+D29</f>
        <v/>
      </c>
      <c r="L29" s="30">
        <f>IF(K29&gt;0, M29/K29, 0)</f>
        <v/>
      </c>
      <c r="M29" s="29">
        <f>'Thang_11'!M29+F29</f>
        <v/>
      </c>
      <c r="N29" s="29">
        <f>'Thang_11'!N29+G29</f>
        <v/>
      </c>
      <c r="O29" s="29">
        <f>'Thang_11'!O29+H29</f>
        <v/>
      </c>
      <c r="P29" s="29">
        <f>'Thang_11'!P29+I29</f>
        <v/>
      </c>
      <c r="Q29" s="29">
        <f>'Thang_11'!Q29+J29</f>
        <v/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40" t="inlineStr"/>
      <c r="E30" s="30">
        <f>IF(D30&gt;0, F30/D30, 0)</f>
        <v/>
      </c>
      <c r="F30" s="40" t="inlineStr"/>
      <c r="G30" s="40" t="inlineStr"/>
      <c r="H30" s="40" t="inlineStr"/>
      <c r="I30" s="40" t="inlineStr"/>
      <c r="J30" s="29">
        <f>F30+G30-H30+I30</f>
        <v/>
      </c>
      <c r="K30" s="29">
        <f>'Thang_11'!K30+D30</f>
        <v/>
      </c>
      <c r="L30" s="30">
        <f>IF(K30&gt;0, M30/K30, 0)</f>
        <v/>
      </c>
      <c r="M30" s="29">
        <f>'Thang_11'!M30+F30</f>
        <v/>
      </c>
      <c r="N30" s="29">
        <f>'Thang_11'!N30+G30</f>
        <v/>
      </c>
      <c r="O30" s="29">
        <f>'Thang_11'!O30+H30</f>
        <v/>
      </c>
      <c r="P30" s="29">
        <f>'Thang_11'!P30+I30</f>
        <v/>
      </c>
      <c r="Q30" s="29">
        <f>'Thang_11'!Q30+J30</f>
        <v/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40" t="inlineStr"/>
      <c r="E31" s="30">
        <f>IF(D31&gt;0, F31/D31, 0)</f>
        <v/>
      </c>
      <c r="F31" s="40" t="inlineStr"/>
      <c r="G31" s="40" t="inlineStr"/>
      <c r="H31" s="40" t="inlineStr"/>
      <c r="I31" s="40" t="inlineStr"/>
      <c r="J31" s="29">
        <f>F31+G31-H31+I31</f>
        <v/>
      </c>
      <c r="K31" s="29">
        <f>'Thang_11'!K31+D31</f>
        <v/>
      </c>
      <c r="L31" s="30">
        <f>IF(K31&gt;0, M31/K31, 0)</f>
        <v/>
      </c>
      <c r="M31" s="29">
        <f>'Thang_11'!M31+F31</f>
        <v/>
      </c>
      <c r="N31" s="29">
        <f>'Thang_11'!N31+G31</f>
        <v/>
      </c>
      <c r="O31" s="29">
        <f>'Thang_11'!O31+H31</f>
        <v/>
      </c>
      <c r="P31" s="29">
        <f>'Thang_11'!P31+I31</f>
        <v/>
      </c>
      <c r="Q31" s="29">
        <f>'Thang_11'!Q31+J31</f>
        <v/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40" t="inlineStr"/>
      <c r="E32" s="30">
        <f>IF(D32&gt;0, F32/D32, 0)</f>
        <v/>
      </c>
      <c r="F32" s="40" t="inlineStr"/>
      <c r="G32" s="40" t="inlineStr"/>
      <c r="H32" s="40" t="inlineStr"/>
      <c r="I32" s="40" t="inlineStr"/>
      <c r="J32" s="29">
        <f>F32+G32-H32+I32</f>
        <v/>
      </c>
      <c r="K32" s="29">
        <f>'Thang_11'!K32+D32</f>
        <v/>
      </c>
      <c r="L32" s="30">
        <f>IF(K32&gt;0, M32/K32, 0)</f>
        <v/>
      </c>
      <c r="M32" s="29">
        <f>'Thang_11'!M32+F32</f>
        <v/>
      </c>
      <c r="N32" s="29">
        <f>'Thang_11'!N32+G32</f>
        <v/>
      </c>
      <c r="O32" s="29">
        <f>'Thang_11'!O32+H32</f>
        <v/>
      </c>
      <c r="P32" s="29">
        <f>'Thang_11'!P32+I32</f>
        <v/>
      </c>
      <c r="Q32" s="29">
        <f>'Thang_11'!Q32+J32</f>
        <v/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>
        <f>SUM(D34:D36)</f>
        <v/>
      </c>
      <c r="E33" s="25">
        <f>IF(D33&gt;0, F33/D33, 0)</f>
        <v/>
      </c>
      <c r="F33" s="24">
        <f>SUM(F34:F36)</f>
        <v/>
      </c>
      <c r="G33" s="24">
        <f>SUM(G34:G36)</f>
        <v/>
      </c>
      <c r="H33" s="24">
        <f>SUM(H34:H36)</f>
        <v/>
      </c>
      <c r="I33" s="24">
        <f>SUM(I34:I36)</f>
        <v/>
      </c>
      <c r="J33" s="24">
        <f>F33+G33-H33+I33</f>
        <v/>
      </c>
      <c r="K33" s="24">
        <f>SUM(K34:K36)</f>
        <v/>
      </c>
      <c r="L33" s="25">
        <f>IF(K33&gt;0, M33/K33, 0)</f>
        <v/>
      </c>
      <c r="M33" s="24">
        <f>SUM(M34:M36)</f>
        <v/>
      </c>
      <c r="N33" s="24">
        <f>SUM(N34:N36)</f>
        <v/>
      </c>
      <c r="O33" s="24">
        <f>SUM(O34:O36)</f>
        <v/>
      </c>
      <c r="P33" s="24">
        <f>SUM(P34:P36)</f>
        <v/>
      </c>
      <c r="Q33" s="24">
        <f>'Thang_11'!Q33+J33</f>
        <v/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40" t="inlineStr"/>
      <c r="E34" s="30">
        <f>IF(D34&gt;0, F34/D34, 0)</f>
        <v/>
      </c>
      <c r="F34" s="40" t="inlineStr"/>
      <c r="G34" s="40" t="inlineStr"/>
      <c r="H34" s="40" t="inlineStr"/>
      <c r="I34" s="40" t="inlineStr"/>
      <c r="J34" s="29">
        <f>F34+G34-H34+I34</f>
        <v/>
      </c>
      <c r="K34" s="29">
        <f>'Thang_11'!K34+D34</f>
        <v/>
      </c>
      <c r="L34" s="30">
        <f>IF(K34&gt;0, M34/K34, 0)</f>
        <v/>
      </c>
      <c r="M34" s="29">
        <f>'Thang_11'!M34+F34</f>
        <v/>
      </c>
      <c r="N34" s="29">
        <f>'Thang_11'!N34+G34</f>
        <v/>
      </c>
      <c r="O34" s="29">
        <f>'Thang_11'!O34+H34</f>
        <v/>
      </c>
      <c r="P34" s="29">
        <f>'Thang_11'!P34+I34</f>
        <v/>
      </c>
      <c r="Q34" s="29">
        <f>'Thang_11'!Q34+J34</f>
        <v/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40" t="inlineStr"/>
      <c r="E35" s="30">
        <f>IF(D35&gt;0, F35/D35, 0)</f>
        <v/>
      </c>
      <c r="F35" s="40" t="inlineStr"/>
      <c r="G35" s="40" t="inlineStr"/>
      <c r="H35" s="40" t="inlineStr"/>
      <c r="I35" s="40" t="inlineStr"/>
      <c r="J35" s="29">
        <f>F35+G35-H35+I35</f>
        <v/>
      </c>
      <c r="K35" s="29">
        <f>'Thang_11'!K35+D35</f>
        <v/>
      </c>
      <c r="L35" s="30">
        <f>IF(K35&gt;0, M35/K35, 0)</f>
        <v/>
      </c>
      <c r="M35" s="29">
        <f>'Thang_11'!M35+F35</f>
        <v/>
      </c>
      <c r="N35" s="29">
        <f>'Thang_11'!N35+G35</f>
        <v/>
      </c>
      <c r="O35" s="29">
        <f>'Thang_11'!O35+H35</f>
        <v/>
      </c>
      <c r="P35" s="29">
        <f>'Thang_11'!P35+I35</f>
        <v/>
      </c>
      <c r="Q35" s="29">
        <f>'Thang_11'!Q35+J35</f>
        <v/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40" t="inlineStr"/>
      <c r="E36" s="30">
        <f>IF(D36&gt;0, F36/D36, 0)</f>
        <v/>
      </c>
      <c r="F36" s="40" t="inlineStr"/>
      <c r="G36" s="40" t="inlineStr"/>
      <c r="H36" s="40" t="inlineStr"/>
      <c r="I36" s="40" t="inlineStr"/>
      <c r="J36" s="29">
        <f>F36+G36-H36+I36</f>
        <v/>
      </c>
      <c r="K36" s="29">
        <f>'Thang_11'!K36+D36</f>
        <v/>
      </c>
      <c r="L36" s="30">
        <f>IF(K36&gt;0, M36/K36, 0)</f>
        <v/>
      </c>
      <c r="M36" s="29">
        <f>'Thang_11'!M36+F36</f>
        <v/>
      </c>
      <c r="N36" s="29">
        <f>'Thang_11'!N36+G36</f>
        <v/>
      </c>
      <c r="O36" s="29">
        <f>'Thang_11'!O36+H36</f>
        <v/>
      </c>
      <c r="P36" s="29">
        <f>'Thang_11'!P36+I36</f>
        <v/>
      </c>
      <c r="Q36" s="29">
        <f>'Thang_11'!Q36+J36</f>
        <v/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>
        <f>SUM(D38:D44)</f>
        <v/>
      </c>
      <c r="E37" s="15">
        <f>IF(D37&gt;0, F37/D37, 0)</f>
        <v/>
      </c>
      <c r="F37" s="14">
        <f>SUM(F38:F44)</f>
        <v/>
      </c>
      <c r="G37" s="14">
        <f>SUM(G38:G44)</f>
        <v/>
      </c>
      <c r="H37" s="14">
        <f>SUM(H38:H44)</f>
        <v/>
      </c>
      <c r="I37" s="14">
        <f>SUM(I38:I44)</f>
        <v/>
      </c>
      <c r="J37" s="14">
        <f>SUM(J38:J44)</f>
        <v/>
      </c>
      <c r="K37" s="14">
        <f>SUM(K38:K44)</f>
        <v/>
      </c>
      <c r="L37" s="15">
        <f>IF(K37&gt;0, M37/K37, 0)</f>
        <v/>
      </c>
      <c r="M37" s="14">
        <f>SUM(M38:M44)</f>
        <v/>
      </c>
      <c r="N37" s="14">
        <f>SUM(N38:N44)</f>
        <v/>
      </c>
      <c r="O37" s="14">
        <f>SUM(O38:O44)</f>
        <v/>
      </c>
      <c r="P37" s="14">
        <f>SUM(P38:P44)</f>
        <v/>
      </c>
      <c r="Q37" s="14">
        <f>'Thang_11'!Q37+J37</f>
        <v/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40" t="inlineStr"/>
      <c r="E38" s="30">
        <f>IF(D38&gt;0, F38/D38, 0)</f>
        <v/>
      </c>
      <c r="F38" s="40" t="inlineStr"/>
      <c r="G38" s="40" t="inlineStr"/>
      <c r="H38" s="40" t="inlineStr"/>
      <c r="I38" s="40" t="inlineStr"/>
      <c r="J38" s="29">
        <f>F38+G38-H38+I38</f>
        <v/>
      </c>
      <c r="K38" s="29">
        <f>'Thang_11'!K38+D38</f>
        <v/>
      </c>
      <c r="L38" s="30">
        <f>IF(K38&gt;0, M38/K38, 0)</f>
        <v/>
      </c>
      <c r="M38" s="29">
        <f>'Thang_11'!M38+F38</f>
        <v/>
      </c>
      <c r="N38" s="29">
        <f>'Thang_11'!N38+G38</f>
        <v/>
      </c>
      <c r="O38" s="29">
        <f>'Thang_11'!O38+H38</f>
        <v/>
      </c>
      <c r="P38" s="29">
        <f>'Thang_11'!P38+I38</f>
        <v/>
      </c>
      <c r="Q38" s="29">
        <f>'Thang_11'!Q38+J38</f>
        <v/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40" t="inlineStr"/>
      <c r="E39" s="30">
        <f>IF(D39&gt;0, F39/D39, 0)</f>
        <v/>
      </c>
      <c r="F39" s="40" t="inlineStr"/>
      <c r="G39" s="40" t="inlineStr"/>
      <c r="H39" s="40" t="inlineStr"/>
      <c r="I39" s="40" t="inlineStr"/>
      <c r="J39" s="29">
        <f>F39+G39-H39+I39</f>
        <v/>
      </c>
      <c r="K39" s="29">
        <f>'Thang_11'!K39+D39</f>
        <v/>
      </c>
      <c r="L39" s="30">
        <f>IF(K39&gt;0, M39/K39, 0)</f>
        <v/>
      </c>
      <c r="M39" s="29">
        <f>'Thang_11'!M39+F39</f>
        <v/>
      </c>
      <c r="N39" s="29">
        <f>'Thang_11'!N39+G39</f>
        <v/>
      </c>
      <c r="O39" s="29">
        <f>'Thang_11'!O39+H39</f>
        <v/>
      </c>
      <c r="P39" s="29">
        <f>'Thang_11'!P39+I39</f>
        <v/>
      </c>
      <c r="Q39" s="29">
        <f>'Thang_11'!Q39+J39</f>
        <v/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40" t="inlineStr"/>
      <c r="E40" s="30">
        <f>IF(D40&gt;0, F40/D40, 0)</f>
        <v/>
      </c>
      <c r="F40" s="40" t="inlineStr"/>
      <c r="G40" s="40" t="inlineStr"/>
      <c r="H40" s="40" t="inlineStr"/>
      <c r="I40" s="40" t="inlineStr"/>
      <c r="J40" s="29">
        <f>F40+G40-H40+I40</f>
        <v/>
      </c>
      <c r="K40" s="29">
        <f>'Thang_11'!K40+D40</f>
        <v/>
      </c>
      <c r="L40" s="30">
        <f>IF(K40&gt;0, M40/K40, 0)</f>
        <v/>
      </c>
      <c r="M40" s="29">
        <f>'Thang_11'!M40+F40</f>
        <v/>
      </c>
      <c r="N40" s="29">
        <f>'Thang_11'!N40+G40</f>
        <v/>
      </c>
      <c r="O40" s="29">
        <f>'Thang_11'!O40+H40</f>
        <v/>
      </c>
      <c r="P40" s="29">
        <f>'Thang_11'!P40+I40</f>
        <v/>
      </c>
      <c r="Q40" s="29">
        <f>'Thang_11'!Q40+J40</f>
        <v/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40" t="inlineStr"/>
      <c r="E41" s="30">
        <f>IF(D41&gt;0, F41/D41, 0)</f>
        <v/>
      </c>
      <c r="F41" s="40" t="inlineStr"/>
      <c r="G41" s="40" t="inlineStr"/>
      <c r="H41" s="40" t="inlineStr"/>
      <c r="I41" s="40" t="inlineStr"/>
      <c r="J41" s="29">
        <f>F41+G41-H41+I41</f>
        <v/>
      </c>
      <c r="K41" s="29">
        <f>'Thang_11'!K41+D41</f>
        <v/>
      </c>
      <c r="L41" s="30">
        <f>IF(K41&gt;0, M41/K41, 0)</f>
        <v/>
      </c>
      <c r="M41" s="29">
        <f>'Thang_11'!M41+F41</f>
        <v/>
      </c>
      <c r="N41" s="29">
        <f>'Thang_11'!N41+G41</f>
        <v/>
      </c>
      <c r="O41" s="29">
        <f>'Thang_11'!O41+H41</f>
        <v/>
      </c>
      <c r="P41" s="29">
        <f>'Thang_11'!P41+I41</f>
        <v/>
      </c>
      <c r="Q41" s="29">
        <f>'Thang_11'!Q41+J41</f>
        <v/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40" t="inlineStr"/>
      <c r="E42" s="30">
        <f>IF(D42&gt;0, F42/D42, 0)</f>
        <v/>
      </c>
      <c r="F42" s="40" t="inlineStr"/>
      <c r="G42" s="40" t="inlineStr"/>
      <c r="H42" s="40" t="inlineStr"/>
      <c r="I42" s="40" t="inlineStr"/>
      <c r="J42" s="29">
        <f>F42+G42-H42+I42</f>
        <v/>
      </c>
      <c r="K42" s="29">
        <f>'Thang_11'!K42+D42</f>
        <v/>
      </c>
      <c r="L42" s="30">
        <f>IF(K42&gt;0, M42/K42, 0)</f>
        <v/>
      </c>
      <c r="M42" s="29">
        <f>'Thang_11'!M42+F42</f>
        <v/>
      </c>
      <c r="N42" s="29">
        <f>'Thang_11'!N42+G42</f>
        <v/>
      </c>
      <c r="O42" s="29">
        <f>'Thang_11'!O42+H42</f>
        <v/>
      </c>
      <c r="P42" s="29">
        <f>'Thang_11'!P42+I42</f>
        <v/>
      </c>
      <c r="Q42" s="29">
        <f>'Thang_11'!Q42+J42</f>
        <v/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40" t="inlineStr"/>
      <c r="E43" s="30">
        <f>IF(D43&gt;0, F43/D43, 0)</f>
        <v/>
      </c>
      <c r="F43" s="40" t="inlineStr"/>
      <c r="G43" s="40" t="inlineStr"/>
      <c r="H43" s="40" t="inlineStr"/>
      <c r="I43" s="40" t="inlineStr"/>
      <c r="J43" s="29">
        <f>F43+G43-H43+I43</f>
        <v/>
      </c>
      <c r="K43" s="29">
        <f>'Thang_11'!K43+D43</f>
        <v/>
      </c>
      <c r="L43" s="30">
        <f>IF(K43&gt;0, M43/K43, 0)</f>
        <v/>
      </c>
      <c r="M43" s="29">
        <f>'Thang_11'!M43+F43</f>
        <v/>
      </c>
      <c r="N43" s="29">
        <f>'Thang_11'!N43+G43</f>
        <v/>
      </c>
      <c r="O43" s="29">
        <f>'Thang_11'!O43+H43</f>
        <v/>
      </c>
      <c r="P43" s="29">
        <f>'Thang_11'!P43+I43</f>
        <v/>
      </c>
      <c r="Q43" s="29">
        <f>'Thang_11'!Q43+J43</f>
        <v/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40" t="inlineStr"/>
      <c r="E44" s="30">
        <f>IF(D44&gt;0, F44/D44, 0)</f>
        <v/>
      </c>
      <c r="F44" s="40" t="inlineStr"/>
      <c r="G44" s="40" t="inlineStr"/>
      <c r="H44" s="40" t="inlineStr"/>
      <c r="I44" s="40" t="inlineStr"/>
      <c r="J44" s="29">
        <f>F44+G44-H44+I44</f>
        <v/>
      </c>
      <c r="K44" s="29">
        <f>'Thang_11'!K44+D44</f>
        <v/>
      </c>
      <c r="L44" s="30">
        <f>IF(K44&gt;0, M44/K44, 0)</f>
        <v/>
      </c>
      <c r="M44" s="29">
        <f>'Thang_11'!M44+F44</f>
        <v/>
      </c>
      <c r="N44" s="29">
        <f>'Thang_11'!N44+G44</f>
        <v/>
      </c>
      <c r="O44" s="29">
        <f>'Thang_11'!O44+H44</f>
        <v/>
      </c>
      <c r="P44" s="29">
        <f>'Thang_11'!P44+I44</f>
        <v/>
      </c>
      <c r="Q44" s="29">
        <f>'Thang_11'!Q44+J44</f>
        <v/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>
        <f>D7+D37</f>
        <v/>
      </c>
      <c r="E45" s="37">
        <f>IF(D45&gt;0, F45/D45, 0)</f>
        <v/>
      </c>
      <c r="F45" s="36">
        <f>F7+F37</f>
        <v/>
      </c>
      <c r="G45" s="36">
        <f>G7+G37</f>
        <v/>
      </c>
      <c r="H45" s="36">
        <f>H7+H37</f>
        <v/>
      </c>
      <c r="I45" s="36">
        <f>I7+I37</f>
        <v/>
      </c>
      <c r="J45" s="36">
        <f>J7+J37</f>
        <v/>
      </c>
      <c r="K45" s="36">
        <f>K7+K37</f>
        <v/>
      </c>
      <c r="L45" s="37">
        <f>IF(K45&gt;0, M45/K45, 0)</f>
        <v/>
      </c>
      <c r="M45" s="36">
        <f>M7+M37</f>
        <v/>
      </c>
      <c r="N45" s="36">
        <f>N7+N37</f>
        <v/>
      </c>
      <c r="O45" s="36">
        <f>O7+O37</f>
        <v/>
      </c>
      <c r="P45" s="36">
        <f>P7+P37</f>
        <v/>
      </c>
      <c r="Q45" s="36">
        <f>'Thang_11'!Q45+J45</f>
        <v/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9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9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4" t="inlineStr">
        <is>
          <t>MÁY VĂN PHÒNG HÀNG ĐẦU VIỆT NAM - TẬP ĐOÀN VPS</t>
        </is>
      </c>
    </row>
    <row r="2">
      <c r="A2" s="5" t="inlineStr">
        <is>
          <t>BÁO CÁO KẾT QUẢ KINH DOANH HỢP NHẤT (P&amp;L)</t>
        </is>
      </c>
    </row>
    <row r="3">
      <c r="A3" s="6" t="inlineStr">
        <is>
          <t>TỔNG HỢP DOANH SỐ, LỢI NHUẬN TRƯỚC THUẾ • KỲ BÁO CÁO: THÁNG 07/2026 VÀ LŨY KẾ 7 THÁNG 2026</t>
        </is>
      </c>
    </row>
    <row r="4">
      <c r="Q4" s="7" t="inlineStr">
        <is>
          <t>Đơn vị tính: Triệu đồng</t>
        </is>
      </c>
    </row>
    <row r="5">
      <c r="A5" s="8" t="inlineStr">
        <is>
          <t>TT</t>
        </is>
      </c>
      <c r="B5" s="8" t="inlineStr">
        <is>
          <t>NỘI DUNG</t>
        </is>
      </c>
      <c r="C5" s="8" t="inlineStr">
        <is>
          <t>VỐN ĐT</t>
        </is>
      </c>
      <c r="D5" s="9" t="inlineStr">
        <is>
          <t>THÁNG 07</t>
        </is>
      </c>
      <c r="K5" s="10" t="inlineStr">
        <is>
          <t>LŨY KẾ 7 THÁNG 2026</t>
        </is>
      </c>
    </row>
    <row r="6">
      <c r="D6" s="9" t="inlineStr">
        <is>
          <t>DS</t>
        </is>
      </c>
      <c r="E6" s="9" t="inlineStr">
        <is>
          <t>% LG</t>
        </is>
      </c>
      <c r="F6" s="9" t="inlineStr">
        <is>
          <t>LG</t>
        </is>
      </c>
      <c r="G6" s="9" t="inlineStr">
        <is>
          <t>HT LG</t>
        </is>
      </c>
      <c r="H6" s="9" t="inlineStr">
        <is>
          <t>CHI PHÍ</t>
        </is>
      </c>
      <c r="I6" s="9" t="inlineStr">
        <is>
          <t>TN KHÁC</t>
        </is>
      </c>
      <c r="J6" s="9" t="inlineStr">
        <is>
          <t>LNTT</t>
        </is>
      </c>
      <c r="K6" s="10" t="inlineStr">
        <is>
          <t>DS</t>
        </is>
      </c>
      <c r="L6" s="10" t="inlineStr">
        <is>
          <t>% LG</t>
        </is>
      </c>
      <c r="M6" s="10" t="inlineStr">
        <is>
          <t>LG</t>
        </is>
      </c>
      <c r="N6" s="10" t="inlineStr">
        <is>
          <t>HT LG</t>
        </is>
      </c>
      <c r="O6" s="10" t="inlineStr">
        <is>
          <t>CHI PHÍ</t>
        </is>
      </c>
      <c r="P6" s="10" t="inlineStr">
        <is>
          <t>TN KHÁC</t>
        </is>
      </c>
      <c r="Q6" s="10" t="inlineStr">
        <is>
          <t>LNTT</t>
        </is>
      </c>
    </row>
    <row r="7">
      <c r="A7" s="11" t="inlineStr">
        <is>
          <t>I</t>
        </is>
      </c>
      <c r="B7" s="12" t="inlineStr">
        <is>
          <t>MIỀN BẮC</t>
        </is>
      </c>
      <c r="C7" s="13" t="n">
        <v>90000</v>
      </c>
      <c r="D7" s="14" t="n">
        <v>41454</v>
      </c>
      <c r="E7" s="15" t="n">
        <v>0.1464273652723501</v>
      </c>
      <c r="F7" s="14" t="n">
        <v>6070</v>
      </c>
      <c r="G7" s="14" t="n">
        <v>5</v>
      </c>
      <c r="H7" s="14" t="n">
        <v>6865</v>
      </c>
      <c r="I7" s="14" t="n">
        <v>1095</v>
      </c>
      <c r="J7" s="38" t="n">
        <v>-89</v>
      </c>
      <c r="K7" s="14" t="n">
        <v>197473</v>
      </c>
      <c r="L7" s="15" t="n">
        <v>0.227788102677328</v>
      </c>
      <c r="M7" s="14" t="n">
        <v>44982</v>
      </c>
      <c r="N7" s="14" t="n">
        <v>335</v>
      </c>
      <c r="O7" s="14" t="n">
        <v>49241</v>
      </c>
      <c r="P7" s="14" t="n">
        <v>7731</v>
      </c>
      <c r="Q7" s="38" t="n">
        <v>-234</v>
      </c>
    </row>
    <row r="8">
      <c r="A8" s="16" t="inlineStr">
        <is>
          <t>1</t>
        </is>
      </c>
      <c r="B8" s="17" t="inlineStr">
        <is>
          <t>THH (Tân Hồng Hà)</t>
        </is>
      </c>
      <c r="C8" s="18" t="n">
        <v>50000</v>
      </c>
      <c r="D8" s="19" t="n">
        <v>8804</v>
      </c>
      <c r="E8" s="20" t="n">
        <v>0.17810086324398</v>
      </c>
      <c r="F8" s="19" t="n">
        <v>1568</v>
      </c>
      <c r="G8" s="19" t="n">
        <v>5</v>
      </c>
      <c r="H8" s="19" t="n">
        <v>1341</v>
      </c>
      <c r="I8" s="19" t="n">
        <v>8</v>
      </c>
      <c r="J8" s="19" t="n">
        <v>245</v>
      </c>
      <c r="K8" s="19" t="n">
        <v>66583</v>
      </c>
      <c r="L8" s="20" t="n">
        <v>0.1514200321403361</v>
      </c>
      <c r="M8" s="19" t="n">
        <v>10082</v>
      </c>
      <c r="N8" s="19" t="n">
        <v>335</v>
      </c>
      <c r="O8" s="19" t="n">
        <v>12453</v>
      </c>
      <c r="P8" s="19" t="n">
        <v>57</v>
      </c>
      <c r="Q8" s="19" t="n">
        <v>2376</v>
      </c>
    </row>
    <row r="9">
      <c r="A9" s="21" t="inlineStr">
        <is>
          <t>a</t>
        </is>
      </c>
      <c r="B9" s="22" t="inlineStr">
        <is>
          <t xml:space="preserve">  Khối dịch vụ kỹ thuật</t>
        </is>
      </c>
      <c r="C9" s="23" t="n"/>
      <c r="D9" s="24" t="n">
        <v>2578</v>
      </c>
      <c r="E9" s="25" t="n">
        <v>0.3351435221101629</v>
      </c>
      <c r="F9" s="24" t="n">
        <v>864</v>
      </c>
      <c r="G9" s="24" t="inlineStr"/>
      <c r="H9" s="24" t="n">
        <v>798</v>
      </c>
      <c r="I9" s="24" t="n">
        <v>1</v>
      </c>
      <c r="J9" s="24" t="n">
        <v>67</v>
      </c>
      <c r="K9" s="24" t="n">
        <v>16145.6</v>
      </c>
      <c r="L9" s="25" t="n">
        <v>0.355948369834506</v>
      </c>
      <c r="M9" s="24" t="n">
        <v>5747</v>
      </c>
      <c r="N9" s="24" t="n">
        <v>54</v>
      </c>
      <c r="O9" s="24" t="n">
        <v>5516</v>
      </c>
      <c r="P9" s="24" t="n">
        <v>1</v>
      </c>
      <c r="Q9" s="24" t="n">
        <v>286</v>
      </c>
    </row>
    <row r="10">
      <c r="A10" s="26" t="inlineStr">
        <is>
          <t>a.1</t>
        </is>
      </c>
      <c r="B10" s="27" t="inlineStr">
        <is>
          <t xml:space="preserve">    Tổ Dịch vụ</t>
        </is>
      </c>
      <c r="C10" s="28" t="n"/>
      <c r="D10" s="29" t="n">
        <v>1346</v>
      </c>
      <c r="E10" s="30" t="n">
        <v>0.2581723625557207</v>
      </c>
      <c r="F10" s="29" t="n">
        <v>347.5</v>
      </c>
      <c r="G10" s="29" t="inlineStr"/>
      <c r="H10" s="29" t="n">
        <v>260.5</v>
      </c>
      <c r="I10" s="29" t="inlineStr"/>
      <c r="J10" s="29" t="n">
        <v>87</v>
      </c>
      <c r="K10" s="29" t="n">
        <v>8304.5</v>
      </c>
      <c r="L10" s="30" t="n">
        <v>0.330567764465049</v>
      </c>
      <c r="M10" s="29" t="n">
        <v>2745.2</v>
      </c>
      <c r="N10" s="29" t="n">
        <v>53</v>
      </c>
      <c r="O10" s="29" t="n">
        <v>2000</v>
      </c>
      <c r="P10" s="29" t="inlineStr"/>
      <c r="Q10" s="29" t="n">
        <v>798.2</v>
      </c>
    </row>
    <row r="11">
      <c r="A11" s="26" t="inlineStr">
        <is>
          <t>a.2</t>
        </is>
      </c>
      <c r="B11" s="27" t="inlineStr">
        <is>
          <t xml:space="preserve">    Tổ mực in</t>
        </is>
      </c>
      <c r="C11" s="28" t="n"/>
      <c r="D11" s="29" t="n">
        <v>292</v>
      </c>
      <c r="E11" s="30" t="n">
        <v>0.4955479452054794</v>
      </c>
      <c r="F11" s="29" t="n">
        <v>144.7</v>
      </c>
      <c r="G11" s="29" t="inlineStr"/>
      <c r="H11" s="29" t="n">
        <v>89.09999999999999</v>
      </c>
      <c r="I11" s="29" t="inlineStr"/>
      <c r="J11" s="29" t="n">
        <v>55.6</v>
      </c>
      <c r="K11" s="29" t="n">
        <v>2054.6</v>
      </c>
      <c r="L11" s="30" t="n">
        <v>0.5149420811836855</v>
      </c>
      <c r="M11" s="29" t="n">
        <v>1058</v>
      </c>
      <c r="N11" s="29" t="inlineStr"/>
      <c r="O11" s="29" t="n">
        <v>600</v>
      </c>
      <c r="P11" s="29" t="inlineStr"/>
      <c r="Q11" s="29" t="n">
        <v>458</v>
      </c>
    </row>
    <row r="12">
      <c r="A12" s="26" t="inlineStr">
        <is>
          <t>a.3</t>
        </is>
      </c>
      <c r="B12" s="27" t="inlineStr">
        <is>
          <t xml:space="preserve">    Thuê máy</t>
        </is>
      </c>
      <c r="C12" s="28" t="n"/>
      <c r="D12" s="29" t="n">
        <v>605</v>
      </c>
      <c r="E12" s="30" t="n">
        <v>0.3819834710743801</v>
      </c>
      <c r="F12" s="29" t="n">
        <v>231.1</v>
      </c>
      <c r="G12" s="29" t="inlineStr"/>
      <c r="H12" s="29" t="n">
        <v>172.7</v>
      </c>
      <c r="I12" s="29" t="inlineStr"/>
      <c r="J12" s="29" t="n">
        <v>58.4</v>
      </c>
      <c r="K12" s="29" t="n">
        <v>3654.1</v>
      </c>
      <c r="L12" s="30" t="n">
        <v>0.3262910155715498</v>
      </c>
      <c r="M12" s="29" t="n">
        <v>1192.3</v>
      </c>
      <c r="N12" s="29" t="inlineStr"/>
      <c r="O12" s="29" t="n">
        <v>900</v>
      </c>
      <c r="P12" s="29" t="inlineStr"/>
      <c r="Q12" s="29" t="n">
        <v>292.3</v>
      </c>
    </row>
    <row r="13">
      <c r="A13" s="26" t="inlineStr">
        <is>
          <t>a.4</t>
        </is>
      </c>
      <c r="B13" s="27" t="inlineStr">
        <is>
          <t xml:space="preserve">    Metercharge</t>
        </is>
      </c>
      <c r="C13" s="28" t="n"/>
      <c r="D13" s="29" t="n">
        <v>233</v>
      </c>
      <c r="E13" s="30" t="n">
        <v>0.6051502145922747</v>
      </c>
      <c r="F13" s="29" t="n">
        <v>141</v>
      </c>
      <c r="G13" s="29" t="inlineStr"/>
      <c r="H13" s="29" t="n">
        <v>81.59999999999999</v>
      </c>
      <c r="I13" s="29" t="inlineStr"/>
      <c r="J13" s="29" t="n">
        <v>59.4</v>
      </c>
      <c r="K13" s="29" t="n">
        <v>1459.2</v>
      </c>
      <c r="L13" s="30" t="n">
        <v>0.5054824561403509</v>
      </c>
      <c r="M13" s="29" t="n">
        <v>737.6</v>
      </c>
      <c r="N13" s="29" t="inlineStr"/>
      <c r="O13" s="29" t="n">
        <v>450</v>
      </c>
      <c r="P13" s="29" t="inlineStr"/>
      <c r="Q13" s="29" t="n">
        <v>287.6</v>
      </c>
    </row>
    <row r="14">
      <c r="A14" s="26" t="inlineStr">
        <is>
          <t>a.5</t>
        </is>
      </c>
      <c r="B14" s="27" t="inlineStr">
        <is>
          <t xml:space="preserve">    Kinh doanh Online</t>
        </is>
      </c>
      <c r="C14" s="28" t="n"/>
      <c r="D14" s="29" t="n">
        <v>102</v>
      </c>
      <c r="E14" s="30" t="n">
        <v>-0.005882352941176471</v>
      </c>
      <c r="F14" s="31" t="n">
        <v>-0.6</v>
      </c>
      <c r="G14" s="29" t="n">
        <v>1</v>
      </c>
      <c r="H14" s="29" t="n">
        <v>2.4</v>
      </c>
      <c r="I14" s="29" t="inlineStr"/>
      <c r="J14" s="31" t="n">
        <v>-2</v>
      </c>
      <c r="K14" s="29" t="n">
        <v>673.4</v>
      </c>
      <c r="L14" s="30" t="n">
        <v>0.02093852093852094</v>
      </c>
      <c r="M14" s="29" t="n">
        <v>14.1</v>
      </c>
      <c r="N14" s="29" t="n">
        <v>1</v>
      </c>
      <c r="O14" s="29" t="n">
        <v>12</v>
      </c>
      <c r="P14" s="29" t="inlineStr"/>
      <c r="Q14" s="29" t="n">
        <v>3.1</v>
      </c>
    </row>
    <row r="15">
      <c r="A15" s="26" t="inlineStr">
        <is>
          <t>b</t>
        </is>
      </c>
      <c r="B15" s="27" t="inlineStr">
        <is>
          <t xml:space="preserve">    Kinh doanh tổng hợp</t>
        </is>
      </c>
      <c r="C15" s="28" t="n"/>
      <c r="D15" s="29" t="n">
        <v>1139</v>
      </c>
      <c r="E15" s="30" t="n">
        <v>0.1532923617208077</v>
      </c>
      <c r="F15" s="29" t="n">
        <v>174.6</v>
      </c>
      <c r="G15" s="29" t="inlineStr"/>
      <c r="H15" s="29" t="n">
        <v>165</v>
      </c>
      <c r="I15" s="29" t="n">
        <v>10</v>
      </c>
      <c r="J15" s="29" t="n">
        <v>19.6</v>
      </c>
      <c r="K15" s="29" t="n">
        <v>12937.5</v>
      </c>
      <c r="L15" s="30" t="n">
        <v>0.0799768115942029</v>
      </c>
      <c r="M15" s="29" t="n">
        <v>1034.7</v>
      </c>
      <c r="N15" s="29" t="n">
        <v>9</v>
      </c>
      <c r="O15" s="29" t="n">
        <v>1157</v>
      </c>
      <c r="P15" s="29" t="n">
        <v>47</v>
      </c>
      <c r="Q15" s="31" t="n">
        <v>-66</v>
      </c>
    </row>
    <row r="16">
      <c r="A16" s="26" t="inlineStr">
        <is>
          <t>c</t>
        </is>
      </c>
      <c r="B16" s="27" t="inlineStr">
        <is>
          <t xml:space="preserve">    Kinh doanh bán buôn</t>
        </is>
      </c>
      <c r="C16" s="28" t="n"/>
      <c r="D16" s="29" t="n">
        <v>4792</v>
      </c>
      <c r="E16" s="30" t="n">
        <v>0.09872704507512521</v>
      </c>
      <c r="F16" s="29" t="n">
        <v>473.1</v>
      </c>
      <c r="G16" s="29" t="n">
        <v>5</v>
      </c>
      <c r="H16" s="29" t="n">
        <v>311</v>
      </c>
      <c r="I16" s="29" t="n">
        <v>7</v>
      </c>
      <c r="J16" s="29" t="n">
        <v>178</v>
      </c>
      <c r="K16" s="29" t="n">
        <v>35000</v>
      </c>
      <c r="L16" s="30" t="n">
        <v>0.06500285714285714</v>
      </c>
      <c r="M16" s="29" t="n">
        <v>2275.1</v>
      </c>
      <c r="N16" s="29" t="n">
        <v>271</v>
      </c>
      <c r="O16" s="29" t="n">
        <v>2438</v>
      </c>
      <c r="P16" s="29" t="n">
        <v>10</v>
      </c>
      <c r="Q16" s="29" t="n">
        <v>119</v>
      </c>
    </row>
    <row r="17">
      <c r="A17" s="26" t="inlineStr">
        <is>
          <t>d</t>
        </is>
      </c>
      <c r="B17" s="27" t="inlineStr">
        <is>
          <t xml:space="preserve">    Dự án</t>
        </is>
      </c>
      <c r="C17" s="28" t="n"/>
      <c r="D17" s="29" t="n">
        <v>295</v>
      </c>
      <c r="E17" s="30" t="n">
        <v>0.1901694915254237</v>
      </c>
      <c r="F17" s="29" t="n">
        <v>56.1</v>
      </c>
      <c r="G17" s="29" t="inlineStr"/>
      <c r="H17" s="29" t="n">
        <v>67</v>
      </c>
      <c r="I17" s="29" t="inlineStr"/>
      <c r="J17" s="31" t="n">
        <v>-10</v>
      </c>
      <c r="K17" s="29" t="n">
        <v>2500</v>
      </c>
      <c r="L17" s="30" t="n">
        <v>0.41</v>
      </c>
      <c r="M17" s="29" t="n">
        <v>1025</v>
      </c>
      <c r="N17" s="29" t="inlineStr"/>
      <c r="O17" s="29" t="n">
        <v>3342</v>
      </c>
      <c r="P17" s="29" t="inlineStr"/>
      <c r="Q17" s="29" t="n">
        <v>2038</v>
      </c>
    </row>
    <row r="18">
      <c r="A18" s="16" t="inlineStr">
        <is>
          <t>2</t>
        </is>
      </c>
      <c r="B18" s="17" t="inlineStr">
        <is>
          <t>Việt</t>
        </is>
      </c>
      <c r="C18" s="18" t="n">
        <v>10000</v>
      </c>
      <c r="D18" s="19" t="n">
        <v>6848</v>
      </c>
      <c r="E18" s="20" t="n">
        <v>0.2029789719626168</v>
      </c>
      <c r="F18" s="19" t="n">
        <v>1390</v>
      </c>
      <c r="G18" s="19" t="n">
        <v>0</v>
      </c>
      <c r="H18" s="19" t="n">
        <v>983</v>
      </c>
      <c r="I18" s="19" t="n">
        <v>7</v>
      </c>
      <c r="J18" s="19" t="n">
        <v>382</v>
      </c>
      <c r="K18" s="19" t="n">
        <v>40294</v>
      </c>
      <c r="L18" s="20" t="n">
        <v>0.2124882116444136</v>
      </c>
      <c r="M18" s="19" t="n">
        <v>8562</v>
      </c>
      <c r="N18" s="19" t="n">
        <v>0</v>
      </c>
      <c r="O18" s="19" t="n">
        <v>6903</v>
      </c>
      <c r="P18" s="19" t="n">
        <v>13</v>
      </c>
      <c r="Q18" s="19" t="n">
        <v>1672</v>
      </c>
    </row>
    <row r="19">
      <c r="A19" s="26" t="inlineStr">
        <is>
          <t>2.1</t>
        </is>
      </c>
      <c r="B19" s="27" t="inlineStr">
        <is>
          <t xml:space="preserve">    Thuê máy</t>
        </is>
      </c>
      <c r="C19" s="28" t="n"/>
      <c r="D19" s="29" t="n">
        <v>1565</v>
      </c>
      <c r="E19" s="30" t="n">
        <v>0.5904153354632588</v>
      </c>
      <c r="F19" s="29" t="n">
        <v>924</v>
      </c>
      <c r="G19" s="29" t="inlineStr"/>
      <c r="H19" s="29" t="n">
        <v>653</v>
      </c>
      <c r="I19" s="29" t="inlineStr"/>
      <c r="J19" s="29" t="n">
        <v>271</v>
      </c>
      <c r="K19" s="29" t="n">
        <v>10876</v>
      </c>
      <c r="L19" s="30" t="n">
        <v>0.5778778962853991</v>
      </c>
      <c r="M19" s="29" t="n">
        <v>6285</v>
      </c>
      <c r="N19" s="29" t="inlineStr"/>
      <c r="O19" s="29" t="n">
        <v>4513</v>
      </c>
      <c r="P19" s="29" t="n">
        <v>11.4</v>
      </c>
      <c r="Q19" s="29" t="n">
        <v>1783</v>
      </c>
    </row>
    <row r="20">
      <c r="A20" s="26" t="inlineStr">
        <is>
          <t>2.2</t>
        </is>
      </c>
      <c r="B20" s="27" t="inlineStr">
        <is>
          <t xml:space="preserve">    KDTH</t>
        </is>
      </c>
      <c r="C20" s="28" t="n"/>
      <c r="D20" s="29" t="n">
        <v>1991</v>
      </c>
      <c r="E20" s="30" t="n">
        <v>0.07584128578603717</v>
      </c>
      <c r="F20" s="29" t="n">
        <v>151</v>
      </c>
      <c r="G20" s="29" t="inlineStr"/>
      <c r="H20" s="29" t="n">
        <v>144</v>
      </c>
      <c r="I20" s="29" t="n">
        <v>7</v>
      </c>
      <c r="J20" s="29" t="n">
        <v>14</v>
      </c>
      <c r="K20" s="29" t="n">
        <v>12624</v>
      </c>
      <c r="L20" s="30" t="n">
        <v>0.07683776932826362</v>
      </c>
      <c r="M20" s="29" t="n">
        <v>970</v>
      </c>
      <c r="N20" s="29" t="inlineStr"/>
      <c r="O20" s="29" t="n">
        <v>1022</v>
      </c>
      <c r="P20" s="29" t="n">
        <v>1.5</v>
      </c>
      <c r="Q20" s="31" t="n">
        <v>-51</v>
      </c>
    </row>
    <row r="21">
      <c r="A21" s="26" t="inlineStr">
        <is>
          <t>2.3</t>
        </is>
      </c>
      <c r="B21" s="27" t="inlineStr">
        <is>
          <t xml:space="preserve">    KD online</t>
        </is>
      </c>
      <c r="C21" s="28" t="n"/>
      <c r="D21" s="29" t="n">
        <v>3135</v>
      </c>
      <c r="E21" s="30" t="n">
        <v>0.06730462519936205</v>
      </c>
      <c r="F21" s="29" t="n">
        <v>211</v>
      </c>
      <c r="G21" s="29" t="inlineStr"/>
      <c r="H21" s="29" t="n">
        <v>149</v>
      </c>
      <c r="I21" s="29" t="inlineStr"/>
      <c r="J21" s="29" t="n">
        <v>62</v>
      </c>
      <c r="K21" s="29" t="n">
        <v>16138</v>
      </c>
      <c r="L21" s="30" t="n">
        <v>0.06184161606146982</v>
      </c>
      <c r="M21" s="29" t="n">
        <v>998</v>
      </c>
      <c r="N21" s="29" t="inlineStr"/>
      <c r="O21" s="29" t="n">
        <v>1116</v>
      </c>
      <c r="P21" s="29" t="inlineStr"/>
      <c r="Q21" s="31" t="n">
        <v>-118</v>
      </c>
    </row>
    <row r="22">
      <c r="A22" s="26" t="inlineStr">
        <is>
          <t>2.4</t>
        </is>
      </c>
      <c r="B22" s="27" t="inlineStr">
        <is>
          <t xml:space="preserve">    Cửa hàng</t>
        </is>
      </c>
      <c r="C22" s="28" t="n"/>
      <c r="D22" s="29" t="n">
        <v>157</v>
      </c>
      <c r="E22" s="30" t="n">
        <v>0.497452229299363</v>
      </c>
      <c r="F22" s="29" t="n">
        <v>78.09999999999999</v>
      </c>
      <c r="G22" s="29" t="inlineStr"/>
      <c r="H22" s="29" t="n">
        <v>37</v>
      </c>
      <c r="I22" s="29" t="inlineStr"/>
      <c r="J22" s="29" t="n">
        <v>42</v>
      </c>
      <c r="K22" s="29" t="n">
        <v>656</v>
      </c>
      <c r="L22" s="30" t="n">
        <v>0.4725609756097561</v>
      </c>
      <c r="M22" s="29" t="n">
        <v>310</v>
      </c>
      <c r="N22" s="29" t="inlineStr"/>
      <c r="O22" s="29" t="n">
        <v>252</v>
      </c>
      <c r="P22" s="29" t="inlineStr"/>
      <c r="Q22" s="29" t="n">
        <v>58</v>
      </c>
    </row>
    <row r="23">
      <c r="A23" s="16" t="inlineStr">
        <is>
          <t>3</t>
        </is>
      </c>
      <c r="B23" s="17" t="inlineStr">
        <is>
          <t>ITSS</t>
        </is>
      </c>
      <c r="C23" s="18" t="n">
        <v>5000</v>
      </c>
      <c r="D23" s="19" t="n">
        <v>524</v>
      </c>
      <c r="E23" s="20" t="n">
        <v>0.3740458015267176</v>
      </c>
      <c r="F23" s="19" t="n">
        <v>196</v>
      </c>
      <c r="G23" s="19" t="inlineStr"/>
      <c r="H23" s="19" t="n">
        <v>87</v>
      </c>
      <c r="I23" s="19" t="n">
        <v>4</v>
      </c>
      <c r="J23" s="19" t="n">
        <v>113</v>
      </c>
      <c r="K23" s="19" t="n">
        <v>2915</v>
      </c>
      <c r="L23" s="20" t="n">
        <v>0.3526586620926244</v>
      </c>
      <c r="M23" s="19" t="n">
        <v>1028</v>
      </c>
      <c r="N23" s="19" t="inlineStr"/>
      <c r="O23" s="19" t="n">
        <v>859</v>
      </c>
      <c r="P23" s="32" t="n">
        <v>-4</v>
      </c>
      <c r="Q23" s="19" t="n">
        <v>165</v>
      </c>
    </row>
    <row r="24">
      <c r="A24" s="16" t="inlineStr">
        <is>
          <t>4</t>
        </is>
      </c>
      <c r="B24" s="17" t="inlineStr">
        <is>
          <t>CTY VPS</t>
        </is>
      </c>
      <c r="C24" s="18" t="n">
        <v>10000</v>
      </c>
      <c r="D24" s="19" t="n">
        <v>14951</v>
      </c>
      <c r="E24" s="20" t="n">
        <v>0.03116848371346398</v>
      </c>
      <c r="F24" s="19" t="n">
        <v>466</v>
      </c>
      <c r="G24" s="19" t="n">
        <v>0</v>
      </c>
      <c r="H24" s="19" t="n">
        <v>2327</v>
      </c>
      <c r="I24" s="19" t="n">
        <v>1033</v>
      </c>
      <c r="J24" s="32" t="n">
        <v>-828</v>
      </c>
      <c r="K24" s="19" t="n">
        <v>16633</v>
      </c>
      <c r="L24" s="20" t="n">
        <v>0.1375578668911201</v>
      </c>
      <c r="M24" s="19" t="n">
        <v>2288</v>
      </c>
      <c r="N24" s="19" t="n">
        <v>0</v>
      </c>
      <c r="O24" s="19" t="n">
        <v>14400</v>
      </c>
      <c r="P24" s="19" t="n">
        <v>7665</v>
      </c>
      <c r="Q24" s="32" t="n">
        <v>-4447</v>
      </c>
    </row>
    <row r="25">
      <c r="A25" s="26" t="inlineStr">
        <is>
          <t>4.1</t>
        </is>
      </c>
      <c r="B25" s="27" t="inlineStr">
        <is>
          <t xml:space="preserve">    VP VPS - hoạt động KD</t>
        </is>
      </c>
      <c r="C25" s="28" t="n"/>
      <c r="D25" s="29" t="n">
        <v>14951</v>
      </c>
      <c r="E25" s="30" t="n">
        <v>0.03116848371346398</v>
      </c>
      <c r="F25" s="29" t="n">
        <v>466</v>
      </c>
      <c r="G25" s="29" t="inlineStr"/>
      <c r="H25" s="29" t="n">
        <v>748</v>
      </c>
      <c r="I25" s="29" t="n">
        <v>419</v>
      </c>
      <c r="J25" s="29" t="n">
        <v>137</v>
      </c>
      <c r="K25" s="29" t="n">
        <v>16633</v>
      </c>
      <c r="L25" s="30" t="n">
        <v>0.1375578668911201</v>
      </c>
      <c r="M25" s="29" t="n">
        <v>2288</v>
      </c>
      <c r="N25" s="29" t="inlineStr"/>
      <c r="O25" s="29" t="n">
        <v>4673</v>
      </c>
      <c r="P25" s="29" t="n">
        <v>2732</v>
      </c>
      <c r="Q25" s="29" t="n">
        <v>347</v>
      </c>
    </row>
    <row r="26">
      <c r="A26" s="26" t="inlineStr">
        <is>
          <t>4.2</t>
        </is>
      </c>
      <c r="B26" s="27" t="inlineStr">
        <is>
          <t xml:space="preserve">    HĐ đầu tư Tài chính</t>
        </is>
      </c>
      <c r="C26" s="28" t="n"/>
      <c r="D26" s="29" t="inlineStr"/>
      <c r="E26" s="30" t="inlineStr"/>
      <c r="F26" s="29" t="inlineStr"/>
      <c r="G26" s="29" t="inlineStr"/>
      <c r="H26" s="29" t="n">
        <v>1579</v>
      </c>
      <c r="I26" s="29" t="n">
        <v>614</v>
      </c>
      <c r="J26" s="31" t="n">
        <v>-965</v>
      </c>
      <c r="K26" s="29" t="inlineStr"/>
      <c r="L26" s="30" t="inlineStr"/>
      <c r="M26" s="29" t="inlineStr"/>
      <c r="N26" s="29" t="inlineStr"/>
      <c r="O26" s="29" t="n">
        <v>9727</v>
      </c>
      <c r="P26" s="29" t="n">
        <v>4933</v>
      </c>
      <c r="Q26" s="31" t="n">
        <v>-4794</v>
      </c>
    </row>
    <row r="27">
      <c r="A27" s="16" t="inlineStr">
        <is>
          <t>5</t>
        </is>
      </c>
      <c r="B27" s="17" t="inlineStr">
        <is>
          <t>XESCO (Xem Sơn)</t>
        </is>
      </c>
      <c r="C27" s="18" t="n">
        <v>15000</v>
      </c>
      <c r="D27" s="19" t="n">
        <v>10326</v>
      </c>
      <c r="E27" s="20" t="n">
        <v>0.2820065853186132</v>
      </c>
      <c r="F27" s="19" t="n">
        <v>2912</v>
      </c>
      <c r="G27" s="19" t="n">
        <v>0</v>
      </c>
      <c r="H27" s="19" t="n">
        <v>2129</v>
      </c>
      <c r="I27" s="19" t="n">
        <v>51</v>
      </c>
      <c r="J27" s="19" t="n">
        <v>834</v>
      </c>
      <c r="K27" s="19" t="n">
        <v>69425</v>
      </c>
      <c r="L27" s="20" t="n">
        <v>0.2688800864241987</v>
      </c>
      <c r="M27" s="19" t="n">
        <v>18667</v>
      </c>
      <c r="N27" s="19" t="n">
        <v>0</v>
      </c>
      <c r="O27" s="19" t="n">
        <v>14626</v>
      </c>
      <c r="P27" s="19" t="n">
        <v>226</v>
      </c>
      <c r="Q27" s="19" t="n">
        <v>4267</v>
      </c>
    </row>
    <row r="28">
      <c r="A28" s="21" t="inlineStr">
        <is>
          <t>5.1</t>
        </is>
      </c>
      <c r="B28" s="22" t="inlineStr">
        <is>
          <t xml:space="preserve">  Xesco - KD</t>
        </is>
      </c>
      <c r="C28" s="23" t="n"/>
      <c r="D28" s="24" t="n">
        <v>7182</v>
      </c>
      <c r="E28" s="25" t="n">
        <v>0.1626287942077416</v>
      </c>
      <c r="F28" s="24" t="n">
        <v>1168</v>
      </c>
      <c r="G28" s="24" t="inlineStr"/>
      <c r="H28" s="24" t="n">
        <v>850</v>
      </c>
      <c r="I28" s="24" t="inlineStr"/>
      <c r="J28" s="24" t="n">
        <v>318</v>
      </c>
      <c r="K28" s="24" t="n">
        <v>48562</v>
      </c>
      <c r="L28" s="25" t="n">
        <v>0.1468020262756888</v>
      </c>
      <c r="M28" s="24" t="n">
        <v>7129</v>
      </c>
      <c r="N28" s="24" t="inlineStr"/>
      <c r="O28" s="24" t="n">
        <v>5542</v>
      </c>
      <c r="P28" s="24" t="n">
        <v>100</v>
      </c>
      <c r="Q28" s="24" t="n">
        <v>1687</v>
      </c>
    </row>
    <row r="29">
      <c r="A29" s="26" t="inlineStr">
        <is>
          <t>•</t>
        </is>
      </c>
      <c r="B29" s="27" t="inlineStr">
        <is>
          <t xml:space="preserve">    Bán máy lẻ</t>
        </is>
      </c>
      <c r="C29" s="28" t="n"/>
      <c r="D29" s="29" t="n">
        <v>191</v>
      </c>
      <c r="E29" s="30" t="n">
        <v>0.256544502617801</v>
      </c>
      <c r="F29" s="29" t="n">
        <v>49</v>
      </c>
      <c r="G29" s="29" t="inlineStr"/>
      <c r="H29" s="29" t="n">
        <v>71</v>
      </c>
      <c r="I29" s="29" t="inlineStr"/>
      <c r="J29" s="31" t="n">
        <v>-22</v>
      </c>
      <c r="K29" s="29" t="n">
        <v>3397</v>
      </c>
      <c r="L29" s="30" t="n">
        <v>0.2287312334412717</v>
      </c>
      <c r="M29" s="29" t="n">
        <v>777</v>
      </c>
      <c r="N29" s="29" t="inlineStr"/>
      <c r="O29" s="29" t="n">
        <v>601</v>
      </c>
      <c r="P29" s="29" t="inlineStr"/>
      <c r="Q29" s="29" t="n">
        <v>176</v>
      </c>
    </row>
    <row r="30">
      <c r="A30" s="26" t="inlineStr">
        <is>
          <t>•</t>
        </is>
      </c>
      <c r="B30" s="27" t="inlineStr">
        <is>
          <t xml:space="preserve">    KD sỉ</t>
        </is>
      </c>
      <c r="C30" s="28" t="n"/>
      <c r="D30" s="29" t="n">
        <v>4032</v>
      </c>
      <c r="E30" s="30" t="n">
        <v>0.1711309523809524</v>
      </c>
      <c r="F30" s="29" t="n">
        <v>690</v>
      </c>
      <c r="G30" s="29" t="inlineStr"/>
      <c r="H30" s="29" t="n">
        <v>479</v>
      </c>
      <c r="I30" s="29" t="inlineStr"/>
      <c r="J30" s="29" t="n">
        <v>211</v>
      </c>
      <c r="K30" s="29" t="n">
        <v>22834</v>
      </c>
      <c r="L30" s="30" t="n">
        <v>0.1632215117806779</v>
      </c>
      <c r="M30" s="29" t="n">
        <v>3727</v>
      </c>
      <c r="N30" s="29" t="inlineStr"/>
      <c r="O30" s="29" t="n">
        <v>3151</v>
      </c>
      <c r="P30" s="29" t="n">
        <v>100</v>
      </c>
      <c r="Q30" s="29" t="n">
        <v>676</v>
      </c>
    </row>
    <row r="31">
      <c r="A31" s="26" t="inlineStr">
        <is>
          <t>•</t>
        </is>
      </c>
      <c r="B31" s="27" t="inlineStr">
        <is>
          <t xml:space="preserve">    KD Online</t>
        </is>
      </c>
      <c r="C31" s="28" t="n"/>
      <c r="D31" s="29" t="n">
        <v>2539</v>
      </c>
      <c r="E31" s="30" t="n">
        <v>0.0531705395825128</v>
      </c>
      <c r="F31" s="29" t="n">
        <v>135</v>
      </c>
      <c r="G31" s="29" t="inlineStr"/>
      <c r="H31" s="29" t="n">
        <v>129</v>
      </c>
      <c r="I31" s="29" t="inlineStr"/>
      <c r="J31" s="29" t="n">
        <v>6</v>
      </c>
      <c r="K31" s="29" t="n">
        <v>19679</v>
      </c>
      <c r="L31" s="30" t="n">
        <v>0.03907718888154886</v>
      </c>
      <c r="M31" s="29" t="n">
        <v>769</v>
      </c>
      <c r="N31" s="29" t="inlineStr"/>
      <c r="O31" s="29" t="n">
        <v>741</v>
      </c>
      <c r="P31" s="29" t="inlineStr"/>
      <c r="Q31" s="29" t="n">
        <v>28</v>
      </c>
    </row>
    <row r="32">
      <c r="A32" s="26" t="inlineStr">
        <is>
          <t>•</t>
        </is>
      </c>
      <c r="B32" s="27" t="inlineStr">
        <is>
          <t xml:space="preserve">    KD Thuê máy</t>
        </is>
      </c>
      <c r="C32" s="28" t="n"/>
      <c r="D32" s="29" t="n">
        <v>420</v>
      </c>
      <c r="E32" s="30" t="n">
        <v>0.7</v>
      </c>
      <c r="F32" s="29" t="n">
        <v>294</v>
      </c>
      <c r="G32" s="29" t="inlineStr"/>
      <c r="H32" s="29" t="n">
        <v>171</v>
      </c>
      <c r="I32" s="29" t="inlineStr"/>
      <c r="J32" s="29" t="n">
        <v>123</v>
      </c>
      <c r="K32" s="29" t="n">
        <v>2653</v>
      </c>
      <c r="L32" s="30" t="n">
        <v>0.6995853750471165</v>
      </c>
      <c r="M32" s="29" t="n">
        <v>1856</v>
      </c>
      <c r="N32" s="29" t="inlineStr"/>
      <c r="O32" s="29" t="n">
        <v>1049</v>
      </c>
      <c r="P32" s="29" t="inlineStr"/>
      <c r="Q32" s="29" t="n">
        <v>807</v>
      </c>
    </row>
    <row r="33">
      <c r="A33" s="21" t="inlineStr">
        <is>
          <t>5.2</t>
        </is>
      </c>
      <c r="B33" s="22" t="inlineStr">
        <is>
          <t xml:space="preserve">  Xesco - KT</t>
        </is>
      </c>
      <c r="C33" s="23" t="n"/>
      <c r="D33" s="24" t="n">
        <v>3144</v>
      </c>
      <c r="E33" s="25" t="n">
        <v>0.55470737913486</v>
      </c>
      <c r="F33" s="24" t="n">
        <v>1744</v>
      </c>
      <c r="G33" s="24" t="inlineStr"/>
      <c r="H33" s="24" t="n">
        <v>1279</v>
      </c>
      <c r="I33" s="24" t="inlineStr"/>
      <c r="J33" s="24" t="n">
        <v>465</v>
      </c>
      <c r="K33" s="24" t="n">
        <v>20863</v>
      </c>
      <c r="L33" s="25" t="n">
        <v>0.5530364760580933</v>
      </c>
      <c r="M33" s="24" t="n">
        <v>11538</v>
      </c>
      <c r="N33" s="24" t="inlineStr"/>
      <c r="O33" s="24" t="n">
        <v>9084</v>
      </c>
      <c r="P33" s="24" t="n">
        <v>126</v>
      </c>
      <c r="Q33" s="24" t="n">
        <v>2580</v>
      </c>
    </row>
    <row r="34">
      <c r="A34" s="26" t="inlineStr">
        <is>
          <t>•</t>
        </is>
      </c>
      <c r="B34" s="27" t="inlineStr">
        <is>
          <t xml:space="preserve">    Thuê máy</t>
        </is>
      </c>
      <c r="C34" s="28" t="n"/>
      <c r="D34" s="29" t="n">
        <v>1502</v>
      </c>
      <c r="E34" s="30" t="n">
        <v>0.6617842876165113</v>
      </c>
      <c r="F34" s="29" t="n">
        <v>994</v>
      </c>
      <c r="G34" s="29" t="inlineStr"/>
      <c r="H34" s="29" t="n">
        <v>776</v>
      </c>
      <c r="I34" s="29" t="inlineStr"/>
      <c r="J34" s="29" t="n">
        <v>218</v>
      </c>
      <c r="K34" s="29" t="n">
        <v>10358</v>
      </c>
      <c r="L34" s="30" t="n">
        <v>0.6717513033404132</v>
      </c>
      <c r="M34" s="29" t="n">
        <v>6958</v>
      </c>
      <c r="N34" s="29" t="inlineStr"/>
      <c r="O34" s="29" t="n">
        <v>5723</v>
      </c>
      <c r="P34" s="29" t="n">
        <v>6</v>
      </c>
      <c r="Q34" s="29" t="n">
        <v>1241</v>
      </c>
    </row>
    <row r="35">
      <c r="A35" s="26" t="inlineStr">
        <is>
          <t>•</t>
        </is>
      </c>
      <c r="B35" s="27" t="inlineStr">
        <is>
          <t xml:space="preserve">    Metercharge</t>
        </is>
      </c>
      <c r="C35" s="28" t="n"/>
      <c r="D35" s="29" t="n">
        <v>278</v>
      </c>
      <c r="E35" s="30" t="n">
        <v>0.5899280575539568</v>
      </c>
      <c r="F35" s="29" t="n">
        <v>164</v>
      </c>
      <c r="G35" s="29" t="inlineStr"/>
      <c r="H35" s="29" t="inlineStr"/>
      <c r="I35" s="29" t="inlineStr"/>
      <c r="J35" s="29" t="n">
        <v>164</v>
      </c>
      <c r="K35" s="29" t="n">
        <v>1869</v>
      </c>
      <c r="L35" s="30" t="n">
        <v>0.5960406634563938</v>
      </c>
      <c r="M35" s="29" t="n">
        <v>1114</v>
      </c>
      <c r="N35" s="29" t="inlineStr"/>
      <c r="O35" s="29" t="inlineStr"/>
      <c r="P35" s="29" t="inlineStr"/>
      <c r="Q35" s="29" t="n">
        <v>1114</v>
      </c>
    </row>
    <row r="36">
      <c r="A36" s="26" t="inlineStr">
        <is>
          <t>•</t>
        </is>
      </c>
      <c r="B36" s="27" t="inlineStr">
        <is>
          <t xml:space="preserve">    Dịch vụ</t>
        </is>
      </c>
      <c r="C36" s="28" t="n"/>
      <c r="D36" s="29" t="n">
        <v>1364</v>
      </c>
      <c r="E36" s="30" t="n">
        <v>0.4296187683284458</v>
      </c>
      <c r="F36" s="29" t="n">
        <v>586</v>
      </c>
      <c r="G36" s="29" t="inlineStr"/>
      <c r="H36" s="29" t="n">
        <v>503</v>
      </c>
      <c r="I36" s="29" t="inlineStr"/>
      <c r="J36" s="29" t="n">
        <v>83</v>
      </c>
      <c r="K36" s="29" t="n">
        <v>8636</v>
      </c>
      <c r="L36" s="30" t="n">
        <v>0.4013432144511348</v>
      </c>
      <c r="M36" s="29" t="n">
        <v>3466</v>
      </c>
      <c r="N36" s="29" t="inlineStr"/>
      <c r="O36" s="29" t="n">
        <v>3361</v>
      </c>
      <c r="P36" s="29" t="n">
        <v>120</v>
      </c>
      <c r="Q36" s="29" t="n">
        <v>225</v>
      </c>
    </row>
    <row r="37">
      <c r="A37" s="11" t="inlineStr">
        <is>
          <t>II</t>
        </is>
      </c>
      <c r="B37" s="12" t="inlineStr">
        <is>
          <t>VPS MIỀN TRUNG</t>
        </is>
      </c>
      <c r="C37" s="13" t="n">
        <v>3000</v>
      </c>
      <c r="D37" s="14" t="n">
        <v>1674</v>
      </c>
      <c r="E37" s="15" t="n">
        <v>0.1427718040621266</v>
      </c>
      <c r="F37" s="14" t="n">
        <v>239</v>
      </c>
      <c r="G37" s="14" t="n">
        <v>0</v>
      </c>
      <c r="H37" s="14" t="n">
        <v>220</v>
      </c>
      <c r="I37" s="14" t="n">
        <v>66</v>
      </c>
      <c r="J37" s="14" t="n">
        <v>85</v>
      </c>
      <c r="K37" s="14" t="n">
        <v>11251</v>
      </c>
      <c r="L37" s="15" t="n">
        <v>0.2014932006043907</v>
      </c>
      <c r="M37" s="14" t="n">
        <v>2267</v>
      </c>
      <c r="N37" s="14" t="n">
        <v>0</v>
      </c>
      <c r="O37" s="14" t="n">
        <v>1515</v>
      </c>
      <c r="P37" s="14" t="n">
        <v>76</v>
      </c>
      <c r="Q37" s="14" t="n">
        <v>828</v>
      </c>
    </row>
    <row r="38">
      <c r="A38" s="26" t="inlineStr">
        <is>
          <t>•</t>
        </is>
      </c>
      <c r="B38" s="27" t="inlineStr">
        <is>
          <t xml:space="preserve">    Kinh doanh máy - bán buôn</t>
        </is>
      </c>
      <c r="C38" s="28" t="n"/>
      <c r="D38" s="29" t="n">
        <v>993</v>
      </c>
      <c r="E38" s="30" t="n">
        <v>0.04934541792547835</v>
      </c>
      <c r="F38" s="29" t="n">
        <v>49</v>
      </c>
      <c r="G38" s="29" t="inlineStr"/>
      <c r="H38" s="29" t="n">
        <v>40</v>
      </c>
      <c r="I38" s="29" t="inlineStr"/>
      <c r="J38" s="29" t="n">
        <v>9</v>
      </c>
      <c r="K38" s="29" t="n">
        <v>5840</v>
      </c>
      <c r="L38" s="30" t="n">
        <v>0.08493150684931507</v>
      </c>
      <c r="M38" s="29" t="n">
        <v>496</v>
      </c>
      <c r="N38" s="29" t="inlineStr"/>
      <c r="O38" s="29" t="n">
        <v>320</v>
      </c>
      <c r="P38" s="29" t="inlineStr"/>
      <c r="Q38" s="29" t="n">
        <v>176</v>
      </c>
    </row>
    <row r="39">
      <c r="A39" s="26" t="inlineStr">
        <is>
          <t>•</t>
        </is>
      </c>
      <c r="B39" s="27" t="inlineStr">
        <is>
          <t xml:space="preserve">    Kinh doanh linh kiện - bán buôn</t>
        </is>
      </c>
      <c r="C39" s="28" t="n"/>
      <c r="D39" s="29" t="n">
        <v>231</v>
      </c>
      <c r="E39" s="30" t="n">
        <v>0.1428571428571428</v>
      </c>
      <c r="F39" s="29" t="n">
        <v>33</v>
      </c>
      <c r="G39" s="29" t="inlineStr"/>
      <c r="H39" s="29" t="n">
        <v>25</v>
      </c>
      <c r="I39" s="29" t="inlineStr"/>
      <c r="J39" s="29" t="n">
        <v>8</v>
      </c>
      <c r="K39" s="29" t="n">
        <v>1788</v>
      </c>
      <c r="L39" s="30" t="n">
        <v>0.1498881431767338</v>
      </c>
      <c r="M39" s="29" t="n">
        <v>268</v>
      </c>
      <c r="N39" s="29" t="inlineStr"/>
      <c r="O39" s="29" t="n">
        <v>180</v>
      </c>
      <c r="P39" s="29" t="inlineStr"/>
      <c r="Q39" s="29" t="n">
        <v>88</v>
      </c>
    </row>
    <row r="40">
      <c r="A40" s="26" t="inlineStr">
        <is>
          <t>•</t>
        </is>
      </c>
      <c r="B40" s="27" t="inlineStr">
        <is>
          <t xml:space="preserve">    Shopee-Online</t>
        </is>
      </c>
      <c r="C40" s="28" t="n"/>
      <c r="D40" s="29" t="n">
        <v>93</v>
      </c>
      <c r="E40" s="30" t="n">
        <v>0.02150537634408602</v>
      </c>
      <c r="F40" s="29" t="n">
        <v>2</v>
      </c>
      <c r="G40" s="29" t="inlineStr"/>
      <c r="H40" s="29" t="n">
        <v>5</v>
      </c>
      <c r="I40" s="29" t="inlineStr"/>
      <c r="J40" s="31" t="n">
        <v>-3</v>
      </c>
      <c r="K40" s="29" t="n">
        <v>806</v>
      </c>
      <c r="L40" s="30" t="n">
        <v>0.05583126550868486</v>
      </c>
      <c r="M40" s="29" t="n">
        <v>45</v>
      </c>
      <c r="N40" s="29" t="inlineStr"/>
      <c r="O40" s="29" t="n">
        <v>35</v>
      </c>
      <c r="P40" s="29" t="inlineStr"/>
      <c r="Q40" s="29" t="n">
        <v>10</v>
      </c>
    </row>
    <row r="41">
      <c r="A41" s="26" t="inlineStr">
        <is>
          <t>•</t>
        </is>
      </c>
      <c r="B41" s="27" t="inlineStr">
        <is>
          <t xml:space="preserve">    Dịch vụ</t>
        </is>
      </c>
      <c r="C41" s="28" t="n"/>
      <c r="D41" s="29" t="n">
        <v>225</v>
      </c>
      <c r="E41" s="30" t="n">
        <v>0.4311111111111111</v>
      </c>
      <c r="F41" s="29" t="n">
        <v>97</v>
      </c>
      <c r="G41" s="29" t="inlineStr"/>
      <c r="H41" s="29" t="n">
        <v>30</v>
      </c>
      <c r="I41" s="29" t="inlineStr"/>
      <c r="J41" s="29" t="n">
        <v>67</v>
      </c>
      <c r="K41" s="29" t="n">
        <v>1467</v>
      </c>
      <c r="L41" s="30" t="n">
        <v>0.4907975460122699</v>
      </c>
      <c r="M41" s="29" t="n">
        <v>720</v>
      </c>
      <c r="N41" s="29" t="inlineStr"/>
      <c r="O41" s="29" t="n">
        <v>450</v>
      </c>
      <c r="P41" s="29" t="inlineStr"/>
      <c r="Q41" s="29" t="n">
        <v>270</v>
      </c>
    </row>
    <row r="42">
      <c r="A42" s="26" t="inlineStr">
        <is>
          <t>•</t>
        </is>
      </c>
      <c r="B42" s="27" t="inlineStr">
        <is>
          <t xml:space="preserve">    Thuê máy</t>
        </is>
      </c>
      <c r="C42" s="28" t="n"/>
      <c r="D42" s="29" t="n">
        <v>81</v>
      </c>
      <c r="E42" s="30" t="n">
        <v>0.2469135802469136</v>
      </c>
      <c r="F42" s="29" t="n">
        <v>20</v>
      </c>
      <c r="G42" s="29" t="inlineStr"/>
      <c r="H42" s="29" t="n">
        <v>18</v>
      </c>
      <c r="I42" s="29" t="inlineStr"/>
      <c r="J42" s="29" t="n">
        <v>2</v>
      </c>
      <c r="K42" s="29" t="n">
        <v>623</v>
      </c>
      <c r="L42" s="30" t="n">
        <v>0.6452648475120385</v>
      </c>
      <c r="M42" s="29" t="n">
        <v>402</v>
      </c>
      <c r="N42" s="29" t="inlineStr"/>
      <c r="O42" s="29" t="n">
        <v>260</v>
      </c>
      <c r="P42" s="29" t="inlineStr"/>
      <c r="Q42" s="29" t="n">
        <v>142</v>
      </c>
    </row>
    <row r="43">
      <c r="A43" s="26" t="inlineStr">
        <is>
          <t>•</t>
        </is>
      </c>
      <c r="B43" s="27" t="inlineStr">
        <is>
          <t xml:space="preserve">    Dịch vụ toàn phần</t>
        </is>
      </c>
      <c r="C43" s="28" t="n"/>
      <c r="D43" s="29" t="n">
        <v>46</v>
      </c>
      <c r="E43" s="30" t="n">
        <v>0.7826086956521739</v>
      </c>
      <c r="F43" s="29" t="n">
        <v>36</v>
      </c>
      <c r="G43" s="29" t="inlineStr"/>
      <c r="H43" s="29" t="n">
        <v>28</v>
      </c>
      <c r="I43" s="29" t="inlineStr"/>
      <c r="J43" s="29" t="n">
        <v>8</v>
      </c>
      <c r="K43" s="29" t="n">
        <v>424</v>
      </c>
      <c r="L43" s="30" t="n">
        <v>0.6674528301886793</v>
      </c>
      <c r="M43" s="29" t="n">
        <v>283</v>
      </c>
      <c r="N43" s="29" t="inlineStr"/>
      <c r="O43" s="29" t="n">
        <v>190</v>
      </c>
      <c r="P43" s="29" t="inlineStr"/>
      <c r="Q43" s="29" t="n">
        <v>93</v>
      </c>
    </row>
    <row r="44">
      <c r="A44" s="26" t="inlineStr">
        <is>
          <t>•</t>
        </is>
      </c>
      <c r="B44" s="27" t="inlineStr">
        <is>
          <t xml:space="preserve">    Bán lẻ</t>
        </is>
      </c>
      <c r="C44" s="28" t="n"/>
      <c r="D44" s="29" t="n">
        <v>5</v>
      </c>
      <c r="E44" s="30" t="n">
        <v>0.2</v>
      </c>
      <c r="F44" s="29" t="n">
        <v>1</v>
      </c>
      <c r="G44" s="29" t="inlineStr"/>
      <c r="H44" s="29" t="n">
        <v>2</v>
      </c>
      <c r="I44" s="29" t="inlineStr"/>
      <c r="J44" s="31" t="n">
        <v>-1</v>
      </c>
      <c r="K44" s="29" t="n">
        <v>304</v>
      </c>
      <c r="L44" s="30" t="n">
        <v>0.1710526315789474</v>
      </c>
      <c r="M44" s="29" t="n">
        <v>52</v>
      </c>
      <c r="N44" s="29" t="inlineStr"/>
      <c r="O44" s="29" t="n">
        <v>40</v>
      </c>
      <c r="P44" s="29" t="inlineStr"/>
      <c r="Q44" s="29" t="n">
        <v>12</v>
      </c>
    </row>
    <row r="45">
      <c r="A45" s="33" t="inlineStr">
        <is>
          <t>★</t>
        </is>
      </c>
      <c r="B45" s="34" t="inlineStr">
        <is>
          <t>TỔNG CỘNG TOÀN TẬP ĐOÀN</t>
        </is>
      </c>
      <c r="C45" s="35" t="n">
        <v>93000</v>
      </c>
      <c r="D45" s="36" t="n">
        <v>43128</v>
      </c>
      <c r="E45" s="37" t="n">
        <v>0.1462854757929883</v>
      </c>
      <c r="F45" s="36" t="n">
        <v>6309</v>
      </c>
      <c r="G45" s="36" t="n">
        <v>5</v>
      </c>
      <c r="H45" s="36" t="n">
        <v>7085</v>
      </c>
      <c r="I45" s="36" t="n">
        <v>1161</v>
      </c>
      <c r="J45" s="36" t="n">
        <v>830</v>
      </c>
      <c r="K45" s="36" t="n">
        <v>208724</v>
      </c>
      <c r="L45" s="37" t="n">
        <v>0.2263707096452732</v>
      </c>
      <c r="M45" s="36" t="n">
        <v>47249</v>
      </c>
      <c r="N45" s="36" t="n">
        <v>335</v>
      </c>
      <c r="O45" s="36" t="n">
        <v>50756</v>
      </c>
      <c r="P45" s="36" t="n">
        <v>8033</v>
      </c>
      <c r="Q45" s="36" t="n">
        <v>4861</v>
      </c>
    </row>
  </sheetData>
  <mergeCells count="8">
    <mergeCell ref="A5:A6"/>
    <mergeCell ref="K5:Q5"/>
    <mergeCell ref="A3:Q3"/>
    <mergeCell ref="A2:Q2"/>
    <mergeCell ref="A1:Q1"/>
    <mergeCell ref="B5:B6"/>
    <mergeCell ref="D5:J5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2026-09-15T07:32:05Z</dcterms:created>
  <dcterms:modified xmlns:dcterms="http://purl.org/dc/terms/" xmlns:xsi="http://www.w3.org/2001/XMLSchema-instance" xsi:type="dcterms:W3CDTF">2026-09-15T07:32:05Z</dcterms:modified>
</cp:coreProperties>
</file>