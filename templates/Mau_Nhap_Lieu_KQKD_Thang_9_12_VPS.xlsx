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g_09" sheetId="1" state="visible" r:id="rId1"/>
    <sheet xmlns:r="http://schemas.openxmlformats.org/officeDocument/2006/relationships" name="Thang_10" sheetId="2" state="visible" r:id="rId2"/>
    <sheet xmlns:r="http://schemas.openxmlformats.org/officeDocument/2006/relationships" name="Thang_11" sheetId="3" state="visible" r:id="rId3"/>
    <sheet xmlns:r="http://schemas.openxmlformats.org/officeDocument/2006/relationships" name="Thang_12" sheetId="4" state="visible" r:id="rId4"/>
    <sheet xmlns:r="http://schemas.openxmlformats.org/officeDocument/2006/relationships" name="Moc_Luy_Ke_T8_Chot_So" sheetId="5" state="visible" r:id="rId5"/>
    <sheet xmlns:r="http://schemas.openxmlformats.org/officeDocument/2006/relationships" name="Huong_Dan_Nhap_Lie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475569"/>
      <sz val="9.5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9.5"/>
    </font>
    <font>
      <name val="Arial"/>
      <b val="1"/>
      <color rgb="001E3A8A"/>
      <sz val="14"/>
    </font>
    <font>
      <name val="Arial"/>
      <b val="1"/>
      <color rgb="00065F46"/>
      <sz val="11"/>
    </font>
    <font>
      <name val="Arial"/>
      <color rgb="00000000"/>
      <sz val="10"/>
    </font>
    <font>
      <name val="Arial"/>
      <b val="1"/>
      <color rgb="00000000"/>
      <sz val="11"/>
    </font>
    <font>
      <name val="Arial"/>
      <color rgb="00065F46"/>
      <sz val="10"/>
    </font>
    <font>
      <name val="Arial"/>
      <color rgb="001E3A8A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E0E7FF"/>
        <bgColor rgb="00E0E7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9" fontId="5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9" fontId="5" fillId="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9" fontId="5" fillId="7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9" fontId="6" fillId="0" borderId="1" pivotButton="0" quotePrefix="0" xfId="0"/>
    <xf numFmtId="0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/>
    </xf>
    <xf numFmtId="3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9" fontId="7" fillId="8" borderId="2" pivotButton="0" quotePrefix="0" xfId="0"/>
    <xf numFmtId="0" fontId="1" fillId="0" borderId="0" pivotButton="0" quotePrefix="0" xfId="0"/>
    <xf numFmtId="0" fontId="2" fillId="0" borderId="0" pivotButton="0" quotePrefix="0" xfId="0"/>
    <xf numFmtId="9" fontId="5" fillId="5" borderId="1" applyAlignment="1" pivotButton="0" quotePrefix="0" xfId="0">
      <alignment horizontal="right" vertical="center"/>
    </xf>
    <xf numFmtId="9" fontId="5" fillId="6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/>
    </xf>
    <xf numFmtId="164" fontId="5" fillId="8" borderId="2" applyAlignment="1" pivotButton="0" quotePrefix="0" xfId="0">
      <alignment horizontal="right" vertical="center"/>
    </xf>
    <xf numFmtId="9" fontId="5" fillId="8" borderId="2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9" customWidth="1" min="5" max="5"/>
    <col width="11" customWidth="1" min="6" max="6"/>
    <col width="9" customWidth="1" min="7" max="7"/>
    <col width="11" customWidth="1" min="8" max="8"/>
    <col width="10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9" customWidth="1" min="15" max="15"/>
    <col width="12" customWidth="1" min="16" max="16"/>
    <col width="11" customWidth="1" min="17" max="17"/>
    <col width="13" customWidth="1" min="18" max="18"/>
  </cols>
  <sheetData>
    <row r="1" ht="28" customHeight="1">
      <c r="A1" s="1" t="inlineStr">
        <is>
          <t>BÁO CÁO KẾT QUẢ HOẠT ĐỘNG KINH DOANH - THÁNG 09/2026</t>
        </is>
      </c>
    </row>
    <row r="2" ht="18" customHeight="1">
      <c r="A2" s="2" t="inlineStr">
        <is>
          <t>Đơn vị tính: Triệu đồng (Tr.đ) | Tự động cộng dồn lũy kế kế thừa Tháng 08 | Đồng bộ trực tiếp Dashboard VPS Group</t>
        </is>
      </c>
    </row>
    <row r="3" ht="24" customHeight="1">
      <c r="A3" s="3" t="inlineStr">
        <is>
          <t>TT</t>
        </is>
      </c>
      <c r="B3" s="4" t="inlineStr">
        <is>
          <t>NỘI DUNG / ĐƠN VỊ KINH DOANH</t>
        </is>
      </c>
      <c r="C3" s="3" t="inlineStr">
        <is>
          <t>VỐN ĐT</t>
        </is>
      </c>
      <c r="D3" s="5" t="inlineStr">
        <is>
          <t>PHÁT SINH THÁNG 09/2026</t>
        </is>
      </c>
      <c r="E3" s="6" t="n"/>
      <c r="F3" s="6" t="n"/>
      <c r="G3" s="6" t="n"/>
      <c r="H3" s="6" t="n"/>
      <c r="I3" s="6" t="n"/>
      <c r="J3" s="6" t="n"/>
      <c r="K3" s="6" t="n"/>
      <c r="L3" s="7" t="inlineStr">
        <is>
          <t>LŨY KẾ ĐẾN HẾT THÁNG 09/2026</t>
        </is>
      </c>
      <c r="M3" s="6" t="n"/>
      <c r="N3" s="6" t="n"/>
      <c r="O3" s="6" t="n"/>
      <c r="P3" s="6" t="n"/>
      <c r="Q3" s="6" t="n"/>
      <c r="R3" s="6" t="n"/>
    </row>
    <row r="4" ht="24" customHeight="1">
      <c r="A4" s="6" t="n"/>
      <c r="B4" s="6" t="n"/>
      <c r="C4" s="6" t="n"/>
      <c r="D4" s="8" t="inlineStr">
        <is>
          <t>DS</t>
        </is>
      </c>
      <c r="E4" s="8" t="inlineStr">
        <is>
          <t>% LG</t>
        </is>
      </c>
      <c r="F4" s="8" t="inlineStr">
        <is>
          <t>LG</t>
        </is>
      </c>
      <c r="G4" s="8" t="inlineStr">
        <is>
          <t>HT LG</t>
        </is>
      </c>
      <c r="H4" s="8" t="inlineStr">
        <is>
          <t>CHI PHÍ</t>
        </is>
      </c>
      <c r="I4" s="8" t="inlineStr">
        <is>
          <t>TN KHÁC</t>
        </is>
      </c>
      <c r="J4" s="8" t="inlineStr">
        <is>
          <t>CP KHÁC</t>
        </is>
      </c>
      <c r="K4" s="8" t="inlineStr">
        <is>
          <t>LNTT</t>
        </is>
      </c>
      <c r="L4" s="9" t="inlineStr">
        <is>
          <t>DS</t>
        </is>
      </c>
      <c r="M4" s="9" t="inlineStr">
        <is>
          <t>% LG</t>
        </is>
      </c>
      <c r="N4" s="9" t="inlineStr">
        <is>
          <t>LG</t>
        </is>
      </c>
      <c r="O4" s="9" t="inlineStr">
        <is>
          <t>HT LG</t>
        </is>
      </c>
      <c r="P4" s="9" t="inlineStr">
        <is>
          <t>CHI PHÍ</t>
        </is>
      </c>
      <c r="Q4" s="9" t="inlineStr">
        <is>
          <t>TN KHÁC</t>
        </is>
      </c>
      <c r="R4" s="9" t="inlineStr">
        <is>
          <t>LNTT</t>
        </is>
      </c>
    </row>
    <row r="5" ht="20" customHeight="1">
      <c r="A5" s="10" t="inlineStr">
        <is>
          <t>I</t>
        </is>
      </c>
      <c r="B5" s="11" t="inlineStr">
        <is>
          <t>MIỀN BẮC</t>
        </is>
      </c>
      <c r="C5" s="12" t="n">
        <v>90000</v>
      </c>
      <c r="D5" s="13" t="n"/>
      <c r="E5" s="14">
        <f>IF(D5&gt;0, F5/D5, 0)</f>
        <v/>
      </c>
      <c r="F5" s="13" t="n"/>
      <c r="G5" s="13" t="n"/>
      <c r="H5" s="13" t="n"/>
      <c r="I5" s="13" t="n"/>
      <c r="J5" s="13" t="n"/>
      <c r="K5" s="13">
        <f>F5+G5-H5+I5-J5</f>
        <v/>
      </c>
      <c r="L5" s="13">
        <f>Moc_Luy_Ke_T8_Chot_So!D5+D5</f>
        <v/>
      </c>
      <c r="M5" s="14">
        <f>IF(L5&gt;0, N5/L5, 0)</f>
        <v/>
      </c>
      <c r="N5" s="13">
        <f>Moc_Luy_Ke_T8_Chot_So!F5+F5</f>
        <v/>
      </c>
      <c r="O5" s="13">
        <f>Moc_Luy_Ke_T8_Chot_So!G5+G5</f>
        <v/>
      </c>
      <c r="P5" s="13">
        <f>Moc_Luy_Ke_T8_Chot_So!H5+H5</f>
        <v/>
      </c>
      <c r="Q5" s="13">
        <f>Moc_Luy_Ke_T8_Chot_So!I5+I5-J5</f>
        <v/>
      </c>
      <c r="R5" s="13">
        <f>Moc_Luy_Ke_T8_Chot_So!J5+K5</f>
        <v/>
      </c>
    </row>
    <row r="6" ht="20" customHeight="1">
      <c r="A6" s="15" t="inlineStr">
        <is>
          <t>1</t>
        </is>
      </c>
      <c r="B6" s="16" t="inlineStr">
        <is>
          <t>THH (Tân Hồng Hà)</t>
        </is>
      </c>
      <c r="C6" s="17" t="n">
        <v>50000</v>
      </c>
      <c r="D6" s="18" t="n"/>
      <c r="E6" s="19">
        <f>IF(D6&gt;0, F6/D6, 0)</f>
        <v/>
      </c>
      <c r="F6" s="18" t="n"/>
      <c r="G6" s="18" t="n"/>
      <c r="H6" s="18" t="n"/>
      <c r="I6" s="18" t="n"/>
      <c r="J6" s="18" t="n"/>
      <c r="K6" s="18">
        <f>F6+G6-H6+I6-J6</f>
        <v/>
      </c>
      <c r="L6" s="18">
        <f>Moc_Luy_Ke_T8_Chot_So!D6+D6</f>
        <v/>
      </c>
      <c r="M6" s="19">
        <f>IF(L6&gt;0, N6/L6, 0)</f>
        <v/>
      </c>
      <c r="N6" s="18">
        <f>Moc_Luy_Ke_T8_Chot_So!F6+F6</f>
        <v/>
      </c>
      <c r="O6" s="18">
        <f>Moc_Luy_Ke_T8_Chot_So!G6+G6</f>
        <v/>
      </c>
      <c r="P6" s="18">
        <f>Moc_Luy_Ke_T8_Chot_So!H6+H6</f>
        <v/>
      </c>
      <c r="Q6" s="18">
        <f>Moc_Luy_Ke_T8_Chot_So!I6+I6-J6</f>
        <v/>
      </c>
      <c r="R6" s="18">
        <f>Moc_Luy_Ke_T8_Chot_So!J6+K6</f>
        <v/>
      </c>
    </row>
    <row r="7" ht="20" customHeight="1">
      <c r="A7" s="20" t="inlineStr">
        <is>
          <t>a</t>
        </is>
      </c>
      <c r="B7" s="21" t="inlineStr">
        <is>
          <t xml:space="preserve">  Khối dịch vụ kỹ thuật</t>
        </is>
      </c>
      <c r="C7" s="22" t="inlineStr"/>
      <c r="D7" s="23" t="n"/>
      <c r="E7" s="24">
        <f>IF(D7&gt;0, F7/D7, 0)</f>
        <v/>
      </c>
      <c r="F7" s="23" t="n"/>
      <c r="G7" s="23" t="n"/>
      <c r="H7" s="23" t="n"/>
      <c r="I7" s="23" t="n"/>
      <c r="J7" s="23" t="n"/>
      <c r="K7" s="23">
        <f>F7+G7-H7+I7-J7</f>
        <v/>
      </c>
      <c r="L7" s="23">
        <f>Moc_Luy_Ke_T8_Chot_So!D7+D7</f>
        <v/>
      </c>
      <c r="M7" s="24">
        <f>IF(L7&gt;0, N7/L7, 0)</f>
        <v/>
      </c>
      <c r="N7" s="23">
        <f>Moc_Luy_Ke_T8_Chot_So!F7+F7</f>
        <v/>
      </c>
      <c r="O7" s="23">
        <f>Moc_Luy_Ke_T8_Chot_So!G7+G7</f>
        <v/>
      </c>
      <c r="P7" s="23">
        <f>Moc_Luy_Ke_T8_Chot_So!H7+H7</f>
        <v/>
      </c>
      <c r="Q7" s="23">
        <f>Moc_Luy_Ke_T8_Chot_So!I7+I7-J7</f>
        <v/>
      </c>
      <c r="R7" s="23">
        <f>Moc_Luy_Ke_T8_Chot_So!J7+K7</f>
        <v/>
      </c>
    </row>
    <row r="8" ht="20" customHeight="1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/>
      <c r="E8" s="29">
        <f>IF(D8&gt;0, F8/D8, 0)</f>
        <v/>
      </c>
      <c r="F8" s="28" t="n"/>
      <c r="G8" s="28" t="n"/>
      <c r="H8" s="28" t="n"/>
      <c r="I8" s="28" t="n"/>
      <c r="J8" s="28" t="n"/>
      <c r="K8" s="28">
        <f>F8+G8-H8+I8-J8</f>
        <v/>
      </c>
      <c r="L8" s="28">
        <f>Moc_Luy_Ke_T8_Chot_So!D8+D8</f>
        <v/>
      </c>
      <c r="M8" s="29">
        <f>IF(L8&gt;0, N8/L8, 0)</f>
        <v/>
      </c>
      <c r="N8" s="28">
        <f>Moc_Luy_Ke_T8_Chot_So!F8+F8</f>
        <v/>
      </c>
      <c r="O8" s="28">
        <f>Moc_Luy_Ke_T8_Chot_So!G8+G8</f>
        <v/>
      </c>
      <c r="P8" s="28">
        <f>Moc_Luy_Ke_T8_Chot_So!H8+H8</f>
        <v/>
      </c>
      <c r="Q8" s="28">
        <f>Moc_Luy_Ke_T8_Chot_So!I8+I8-J8</f>
        <v/>
      </c>
      <c r="R8" s="28">
        <f>Moc_Luy_Ke_T8_Chot_So!J8+K8</f>
        <v/>
      </c>
    </row>
    <row r="9" ht="20" customHeight="1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/>
      <c r="E9" s="29">
        <f>IF(D9&gt;0, F9/D9, 0)</f>
        <v/>
      </c>
      <c r="F9" s="28" t="n"/>
      <c r="G9" s="28" t="n"/>
      <c r="H9" s="28" t="n"/>
      <c r="I9" s="28" t="n"/>
      <c r="J9" s="28" t="n"/>
      <c r="K9" s="28">
        <f>F9+G9-H9+I9-J9</f>
        <v/>
      </c>
      <c r="L9" s="28">
        <f>Moc_Luy_Ke_T8_Chot_So!D9+D9</f>
        <v/>
      </c>
      <c r="M9" s="29">
        <f>IF(L9&gt;0, N9/L9, 0)</f>
        <v/>
      </c>
      <c r="N9" s="28">
        <f>Moc_Luy_Ke_T8_Chot_So!F9+F9</f>
        <v/>
      </c>
      <c r="O9" s="28">
        <f>Moc_Luy_Ke_T8_Chot_So!G9+G9</f>
        <v/>
      </c>
      <c r="P9" s="28">
        <f>Moc_Luy_Ke_T8_Chot_So!H9+H9</f>
        <v/>
      </c>
      <c r="Q9" s="28">
        <f>Moc_Luy_Ke_T8_Chot_So!I9+I9-J9</f>
        <v/>
      </c>
      <c r="R9" s="28">
        <f>Moc_Luy_Ke_T8_Chot_So!J9+K9</f>
        <v/>
      </c>
    </row>
    <row r="10" ht="20" customHeight="1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/>
      <c r="E10" s="29">
        <f>IF(D10&gt;0, F10/D10, 0)</f>
        <v/>
      </c>
      <c r="F10" s="28" t="n"/>
      <c r="G10" s="28" t="n"/>
      <c r="H10" s="28" t="n"/>
      <c r="I10" s="28" t="n"/>
      <c r="J10" s="28" t="n"/>
      <c r="K10" s="28">
        <f>F10+G10-H10+I10-J10</f>
        <v/>
      </c>
      <c r="L10" s="28">
        <f>Moc_Luy_Ke_T8_Chot_So!D10+D10</f>
        <v/>
      </c>
      <c r="M10" s="29">
        <f>IF(L10&gt;0, N10/L10, 0)</f>
        <v/>
      </c>
      <c r="N10" s="28">
        <f>Moc_Luy_Ke_T8_Chot_So!F10+F10</f>
        <v/>
      </c>
      <c r="O10" s="28">
        <f>Moc_Luy_Ke_T8_Chot_So!G10+G10</f>
        <v/>
      </c>
      <c r="P10" s="28">
        <f>Moc_Luy_Ke_T8_Chot_So!H10+H10</f>
        <v/>
      </c>
      <c r="Q10" s="28">
        <f>Moc_Luy_Ke_T8_Chot_So!I10+I10-J10</f>
        <v/>
      </c>
      <c r="R10" s="28">
        <f>Moc_Luy_Ke_T8_Chot_So!J10+K10</f>
        <v/>
      </c>
    </row>
    <row r="11" ht="20" customHeight="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/>
      <c r="E11" s="29">
        <f>IF(D11&gt;0, F11/D11, 0)</f>
        <v/>
      </c>
      <c r="F11" s="28" t="n"/>
      <c r="G11" s="28" t="n"/>
      <c r="H11" s="28" t="n"/>
      <c r="I11" s="28" t="n"/>
      <c r="J11" s="28" t="n"/>
      <c r="K11" s="28">
        <f>F11+G11-H11+I11-J11</f>
        <v/>
      </c>
      <c r="L11" s="28">
        <f>Moc_Luy_Ke_T8_Chot_So!D11+D11</f>
        <v/>
      </c>
      <c r="M11" s="29">
        <f>IF(L11&gt;0, N11/L11, 0)</f>
        <v/>
      </c>
      <c r="N11" s="28">
        <f>Moc_Luy_Ke_T8_Chot_So!F11+F11</f>
        <v/>
      </c>
      <c r="O11" s="28">
        <f>Moc_Luy_Ke_T8_Chot_So!G11+G11</f>
        <v/>
      </c>
      <c r="P11" s="28">
        <f>Moc_Luy_Ke_T8_Chot_So!H11+H11</f>
        <v/>
      </c>
      <c r="Q11" s="28">
        <f>Moc_Luy_Ke_T8_Chot_So!I11+I11-J11</f>
        <v/>
      </c>
      <c r="R11" s="28">
        <f>Moc_Luy_Ke_T8_Chot_So!J11+K11</f>
        <v/>
      </c>
    </row>
    <row r="12" ht="20" customHeight="1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/>
      <c r="E12" s="29">
        <f>IF(D12&gt;0, F12/D12, 0)</f>
        <v/>
      </c>
      <c r="F12" s="28" t="n"/>
      <c r="G12" s="28" t="n"/>
      <c r="H12" s="28" t="n"/>
      <c r="I12" s="28" t="n"/>
      <c r="J12" s="28" t="n"/>
      <c r="K12" s="28">
        <f>F12+G12-H12+I12-J12</f>
        <v/>
      </c>
      <c r="L12" s="28">
        <f>Moc_Luy_Ke_T8_Chot_So!D12+D12</f>
        <v/>
      </c>
      <c r="M12" s="29">
        <f>IF(L12&gt;0, N12/L12, 0)</f>
        <v/>
      </c>
      <c r="N12" s="28">
        <f>Moc_Luy_Ke_T8_Chot_So!F12+F12</f>
        <v/>
      </c>
      <c r="O12" s="28">
        <f>Moc_Luy_Ke_T8_Chot_So!G12+G12</f>
        <v/>
      </c>
      <c r="P12" s="28">
        <f>Moc_Luy_Ke_T8_Chot_So!H12+H12</f>
        <v/>
      </c>
      <c r="Q12" s="28">
        <f>Moc_Luy_Ke_T8_Chot_So!I12+I12-J12</f>
        <v/>
      </c>
      <c r="R12" s="28">
        <f>Moc_Luy_Ke_T8_Chot_So!J12+K12</f>
        <v/>
      </c>
    </row>
    <row r="13" ht="20" customHeight="1">
      <c r="A13" s="20" t="inlineStr">
        <is>
          <t>b</t>
        </is>
      </c>
      <c r="B13" s="21" t="inlineStr">
        <is>
          <t xml:space="preserve">  Kinh doanh tổng hợp</t>
        </is>
      </c>
      <c r="C13" s="22" t="inlineStr"/>
      <c r="D13" s="23" t="n"/>
      <c r="E13" s="24">
        <f>IF(D13&gt;0, F13/D13, 0)</f>
        <v/>
      </c>
      <c r="F13" s="23" t="n"/>
      <c r="G13" s="23" t="n"/>
      <c r="H13" s="23" t="n"/>
      <c r="I13" s="23" t="n"/>
      <c r="J13" s="23" t="n"/>
      <c r="K13" s="23">
        <f>F13+G13-H13+I13-J13</f>
        <v/>
      </c>
      <c r="L13" s="23">
        <f>Moc_Luy_Ke_T8_Chot_So!D13+D13</f>
        <v/>
      </c>
      <c r="M13" s="24">
        <f>IF(L13&gt;0, N13/L13, 0)</f>
        <v/>
      </c>
      <c r="N13" s="23">
        <f>Moc_Luy_Ke_T8_Chot_So!F13+F13</f>
        <v/>
      </c>
      <c r="O13" s="23">
        <f>Moc_Luy_Ke_T8_Chot_So!G13+G13</f>
        <v/>
      </c>
      <c r="P13" s="23">
        <f>Moc_Luy_Ke_T8_Chot_So!H13+H13</f>
        <v/>
      </c>
      <c r="Q13" s="23">
        <f>Moc_Luy_Ke_T8_Chot_So!I13+I13-J13</f>
        <v/>
      </c>
      <c r="R13" s="23">
        <f>Moc_Luy_Ke_T8_Chot_So!J13+K13</f>
        <v/>
      </c>
    </row>
    <row r="14" ht="20" customHeight="1">
      <c r="A14" s="20" t="inlineStr">
        <is>
          <t>c</t>
        </is>
      </c>
      <c r="B14" s="21" t="inlineStr">
        <is>
          <t xml:space="preserve">  Kinh doanh bán buôn</t>
        </is>
      </c>
      <c r="C14" s="22" t="inlineStr"/>
      <c r="D14" s="23" t="n"/>
      <c r="E14" s="24">
        <f>IF(D14&gt;0, F14/D14, 0)</f>
        <v/>
      </c>
      <c r="F14" s="23" t="n"/>
      <c r="G14" s="23" t="n"/>
      <c r="H14" s="23" t="n"/>
      <c r="I14" s="23" t="n"/>
      <c r="J14" s="23" t="n"/>
      <c r="K14" s="23">
        <f>F14+G14-H14+I14-J14</f>
        <v/>
      </c>
      <c r="L14" s="23">
        <f>Moc_Luy_Ke_T8_Chot_So!D14+D14</f>
        <v/>
      </c>
      <c r="M14" s="24">
        <f>IF(L14&gt;0, N14/L14, 0)</f>
        <v/>
      </c>
      <c r="N14" s="23">
        <f>Moc_Luy_Ke_T8_Chot_So!F14+F14</f>
        <v/>
      </c>
      <c r="O14" s="23">
        <f>Moc_Luy_Ke_T8_Chot_So!G14+G14</f>
        <v/>
      </c>
      <c r="P14" s="23">
        <f>Moc_Luy_Ke_T8_Chot_So!H14+H14</f>
        <v/>
      </c>
      <c r="Q14" s="23">
        <f>Moc_Luy_Ke_T8_Chot_So!I14+I14-J14</f>
        <v/>
      </c>
      <c r="R14" s="23">
        <f>Moc_Luy_Ke_T8_Chot_So!J14+K14</f>
        <v/>
      </c>
    </row>
    <row r="15" ht="20" customHeight="1">
      <c r="A15" s="20" t="inlineStr">
        <is>
          <t>d</t>
        </is>
      </c>
      <c r="B15" s="21" t="inlineStr">
        <is>
          <t xml:space="preserve">  Dự án</t>
        </is>
      </c>
      <c r="C15" s="22" t="inlineStr"/>
      <c r="D15" s="23" t="n"/>
      <c r="E15" s="24">
        <f>IF(D15&gt;0, F15/D15, 0)</f>
        <v/>
      </c>
      <c r="F15" s="23" t="n"/>
      <c r="G15" s="23" t="n"/>
      <c r="H15" s="23" t="n"/>
      <c r="I15" s="23" t="n"/>
      <c r="J15" s="23" t="n"/>
      <c r="K15" s="23">
        <f>F15+G15-H15+I15-J15</f>
        <v/>
      </c>
      <c r="L15" s="23">
        <f>Moc_Luy_Ke_T8_Chot_So!D15+D15</f>
        <v/>
      </c>
      <c r="M15" s="24">
        <f>IF(L15&gt;0, N15/L15, 0)</f>
        <v/>
      </c>
      <c r="N15" s="23">
        <f>Moc_Luy_Ke_T8_Chot_So!F15+F15</f>
        <v/>
      </c>
      <c r="O15" s="23">
        <f>Moc_Luy_Ke_T8_Chot_So!G15+G15</f>
        <v/>
      </c>
      <c r="P15" s="23">
        <f>Moc_Luy_Ke_T8_Chot_So!H15+H15</f>
        <v/>
      </c>
      <c r="Q15" s="23">
        <f>Moc_Luy_Ke_T8_Chot_So!I15+I15-J15</f>
        <v/>
      </c>
      <c r="R15" s="23">
        <f>Moc_Luy_Ke_T8_Chot_So!J15+K15</f>
        <v/>
      </c>
    </row>
    <row r="16" ht="20" customHeight="1">
      <c r="A16" s="15" t="inlineStr">
        <is>
          <t>2</t>
        </is>
      </c>
      <c r="B16" s="16" t="inlineStr">
        <is>
          <t>Việt</t>
        </is>
      </c>
      <c r="C16" s="17" t="n">
        <v>10000</v>
      </c>
      <c r="D16" s="18" t="n"/>
      <c r="E16" s="19">
        <f>IF(D16&gt;0, F16/D16, 0)</f>
        <v/>
      </c>
      <c r="F16" s="18" t="n"/>
      <c r="G16" s="18" t="n"/>
      <c r="H16" s="18" t="n"/>
      <c r="I16" s="18" t="n"/>
      <c r="J16" s="18" t="n"/>
      <c r="K16" s="18">
        <f>F16+G16-H16+I16-J16</f>
        <v/>
      </c>
      <c r="L16" s="18">
        <f>Moc_Luy_Ke_T8_Chot_So!D16+D16</f>
        <v/>
      </c>
      <c r="M16" s="19">
        <f>IF(L16&gt;0, N16/L16, 0)</f>
        <v/>
      </c>
      <c r="N16" s="18">
        <f>Moc_Luy_Ke_T8_Chot_So!F16+F16</f>
        <v/>
      </c>
      <c r="O16" s="18">
        <f>Moc_Luy_Ke_T8_Chot_So!G16+G16</f>
        <v/>
      </c>
      <c r="P16" s="18">
        <f>Moc_Luy_Ke_T8_Chot_So!H16+H16</f>
        <v/>
      </c>
      <c r="Q16" s="18">
        <f>Moc_Luy_Ke_T8_Chot_So!I16+I16-J16</f>
        <v/>
      </c>
      <c r="R16" s="18">
        <f>Moc_Luy_Ke_T8_Chot_So!J16+K16</f>
        <v/>
      </c>
    </row>
    <row r="17" ht="20" customHeight="1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/>
      <c r="E17" s="29">
        <f>IF(D17&gt;0, F17/D17, 0)</f>
        <v/>
      </c>
      <c r="F17" s="28" t="n"/>
      <c r="G17" s="28" t="n"/>
      <c r="H17" s="28" t="n"/>
      <c r="I17" s="28" t="n"/>
      <c r="J17" s="28" t="n"/>
      <c r="K17" s="28">
        <f>F17+G17-H17+I17-J17</f>
        <v/>
      </c>
      <c r="L17" s="28">
        <f>Moc_Luy_Ke_T8_Chot_So!D17+D17</f>
        <v/>
      </c>
      <c r="M17" s="29">
        <f>IF(L17&gt;0, N17/L17, 0)</f>
        <v/>
      </c>
      <c r="N17" s="28">
        <f>Moc_Luy_Ke_T8_Chot_So!F17+F17</f>
        <v/>
      </c>
      <c r="O17" s="28">
        <f>Moc_Luy_Ke_T8_Chot_So!G17+G17</f>
        <v/>
      </c>
      <c r="P17" s="28">
        <f>Moc_Luy_Ke_T8_Chot_So!H17+H17</f>
        <v/>
      </c>
      <c r="Q17" s="28">
        <f>Moc_Luy_Ke_T8_Chot_So!I17+I17-J17</f>
        <v/>
      </c>
      <c r="R17" s="28">
        <f>Moc_Luy_Ke_T8_Chot_So!J17+K17</f>
        <v/>
      </c>
    </row>
    <row r="18" ht="20" customHeight="1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/>
      <c r="E18" s="29">
        <f>IF(D18&gt;0, F18/D18, 0)</f>
        <v/>
      </c>
      <c r="F18" s="28" t="n"/>
      <c r="G18" s="28" t="n"/>
      <c r="H18" s="28" t="n"/>
      <c r="I18" s="28" t="n"/>
      <c r="J18" s="28" t="n"/>
      <c r="K18" s="28">
        <f>F18+G18-H18+I18-J18</f>
        <v/>
      </c>
      <c r="L18" s="28">
        <f>Moc_Luy_Ke_T8_Chot_So!D18+D18</f>
        <v/>
      </c>
      <c r="M18" s="29">
        <f>IF(L18&gt;0, N18/L18, 0)</f>
        <v/>
      </c>
      <c r="N18" s="28">
        <f>Moc_Luy_Ke_T8_Chot_So!F18+F18</f>
        <v/>
      </c>
      <c r="O18" s="28">
        <f>Moc_Luy_Ke_T8_Chot_So!G18+G18</f>
        <v/>
      </c>
      <c r="P18" s="28">
        <f>Moc_Luy_Ke_T8_Chot_So!H18+H18</f>
        <v/>
      </c>
      <c r="Q18" s="28">
        <f>Moc_Luy_Ke_T8_Chot_So!I18+I18-J18</f>
        <v/>
      </c>
      <c r="R18" s="28">
        <f>Moc_Luy_Ke_T8_Chot_So!J18+K18</f>
        <v/>
      </c>
    </row>
    <row r="19" ht="20" customHeight="1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/>
      <c r="E19" s="29">
        <f>IF(D19&gt;0, F19/D19, 0)</f>
        <v/>
      </c>
      <c r="F19" s="28" t="n"/>
      <c r="G19" s="28" t="n"/>
      <c r="H19" s="28" t="n"/>
      <c r="I19" s="28" t="n"/>
      <c r="J19" s="28" t="n"/>
      <c r="K19" s="28">
        <f>F19+G19-H19+I19-J19</f>
        <v/>
      </c>
      <c r="L19" s="28">
        <f>Moc_Luy_Ke_T8_Chot_So!D19+D19</f>
        <v/>
      </c>
      <c r="M19" s="29">
        <f>IF(L19&gt;0, N19/L19, 0)</f>
        <v/>
      </c>
      <c r="N19" s="28">
        <f>Moc_Luy_Ke_T8_Chot_So!F19+F19</f>
        <v/>
      </c>
      <c r="O19" s="28">
        <f>Moc_Luy_Ke_T8_Chot_So!G19+G19</f>
        <v/>
      </c>
      <c r="P19" s="28">
        <f>Moc_Luy_Ke_T8_Chot_So!H19+H19</f>
        <v/>
      </c>
      <c r="Q19" s="28">
        <f>Moc_Luy_Ke_T8_Chot_So!I19+I19-J19</f>
        <v/>
      </c>
      <c r="R19" s="28">
        <f>Moc_Luy_Ke_T8_Chot_So!J19+K19</f>
        <v/>
      </c>
    </row>
    <row r="20" ht="20" customHeight="1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/>
      <c r="E20" s="29">
        <f>IF(D20&gt;0, F20/D20, 0)</f>
        <v/>
      </c>
      <c r="F20" s="28" t="n"/>
      <c r="G20" s="28" t="n"/>
      <c r="H20" s="28" t="n"/>
      <c r="I20" s="28" t="n"/>
      <c r="J20" s="28" t="n"/>
      <c r="K20" s="28">
        <f>F20+G20-H20+I20-J20</f>
        <v/>
      </c>
      <c r="L20" s="28">
        <f>Moc_Luy_Ke_T8_Chot_So!D20+D20</f>
        <v/>
      </c>
      <c r="M20" s="29">
        <f>IF(L20&gt;0, N20/L20, 0)</f>
        <v/>
      </c>
      <c r="N20" s="28">
        <f>Moc_Luy_Ke_T8_Chot_So!F20+F20</f>
        <v/>
      </c>
      <c r="O20" s="28">
        <f>Moc_Luy_Ke_T8_Chot_So!G20+G20</f>
        <v/>
      </c>
      <c r="P20" s="28">
        <f>Moc_Luy_Ke_T8_Chot_So!H20+H20</f>
        <v/>
      </c>
      <c r="Q20" s="28">
        <f>Moc_Luy_Ke_T8_Chot_So!I20+I20-J20</f>
        <v/>
      </c>
      <c r="R20" s="28">
        <f>Moc_Luy_Ke_T8_Chot_So!J20+K20</f>
        <v/>
      </c>
    </row>
    <row r="21" ht="20" customHeight="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/>
      <c r="E21" s="29">
        <f>IF(D21&gt;0, F21/D21, 0)</f>
        <v/>
      </c>
      <c r="F21" s="28" t="n"/>
      <c r="G21" s="28" t="n"/>
      <c r="H21" s="28" t="n"/>
      <c r="I21" s="28" t="n"/>
      <c r="J21" s="28" t="n"/>
      <c r="K21" s="28">
        <f>F21+G21-H21+I21-J21</f>
        <v/>
      </c>
      <c r="L21" s="28">
        <f>Moc_Luy_Ke_T8_Chot_So!D21+D21</f>
        <v/>
      </c>
      <c r="M21" s="29">
        <f>IF(L21&gt;0, N21/L21, 0)</f>
        <v/>
      </c>
      <c r="N21" s="28">
        <f>Moc_Luy_Ke_T8_Chot_So!F21+F21</f>
        <v/>
      </c>
      <c r="O21" s="28">
        <f>Moc_Luy_Ke_T8_Chot_So!G21+G21</f>
        <v/>
      </c>
      <c r="P21" s="28">
        <f>Moc_Luy_Ke_T8_Chot_So!H21+H21</f>
        <v/>
      </c>
      <c r="Q21" s="28">
        <f>Moc_Luy_Ke_T8_Chot_So!I21+I21-J21</f>
        <v/>
      </c>
      <c r="R21" s="28">
        <f>Moc_Luy_Ke_T8_Chot_So!J21+K21</f>
        <v/>
      </c>
    </row>
    <row r="22" ht="20" customHeight="1">
      <c r="A22" s="15" t="inlineStr">
        <is>
          <t>3</t>
        </is>
      </c>
      <c r="B22" s="16" t="inlineStr">
        <is>
          <t>ITSS</t>
        </is>
      </c>
      <c r="C22" s="17" t="n">
        <v>5000</v>
      </c>
      <c r="D22" s="18" t="n"/>
      <c r="E22" s="19">
        <f>IF(D22&gt;0, F22/D22, 0)</f>
        <v/>
      </c>
      <c r="F22" s="18" t="n"/>
      <c r="G22" s="18" t="n"/>
      <c r="H22" s="18" t="n"/>
      <c r="I22" s="18" t="n"/>
      <c r="J22" s="18" t="n"/>
      <c r="K22" s="18">
        <f>F22+G22-H22+I22-J22</f>
        <v/>
      </c>
      <c r="L22" s="18">
        <f>Moc_Luy_Ke_T8_Chot_So!D22+D22</f>
        <v/>
      </c>
      <c r="M22" s="19">
        <f>IF(L22&gt;0, N22/L22, 0)</f>
        <v/>
      </c>
      <c r="N22" s="18">
        <f>Moc_Luy_Ke_T8_Chot_So!F22+F22</f>
        <v/>
      </c>
      <c r="O22" s="18">
        <f>Moc_Luy_Ke_T8_Chot_So!G22+G22</f>
        <v/>
      </c>
      <c r="P22" s="18">
        <f>Moc_Luy_Ke_T8_Chot_So!H22+H22</f>
        <v/>
      </c>
      <c r="Q22" s="18">
        <f>Moc_Luy_Ke_T8_Chot_So!I22+I22-J22</f>
        <v/>
      </c>
      <c r="R22" s="18">
        <f>Moc_Luy_Ke_T8_Chot_So!J22+K22</f>
        <v/>
      </c>
    </row>
    <row r="23" ht="20" customHeight="1">
      <c r="A23" s="15" t="inlineStr">
        <is>
          <t>4</t>
        </is>
      </c>
      <c r="B23" s="16" t="inlineStr">
        <is>
          <t>CTY VPS</t>
        </is>
      </c>
      <c r="C23" s="17" t="n">
        <v>10000</v>
      </c>
      <c r="D23" s="18" t="n"/>
      <c r="E23" s="19">
        <f>IF(D23&gt;0, F23/D23, 0)</f>
        <v/>
      </c>
      <c r="F23" s="18" t="n"/>
      <c r="G23" s="18" t="n"/>
      <c r="H23" s="18" t="n"/>
      <c r="I23" s="18" t="n"/>
      <c r="J23" s="18" t="n"/>
      <c r="K23" s="18">
        <f>F23+G23-H23+I23-J23</f>
        <v/>
      </c>
      <c r="L23" s="18">
        <f>Moc_Luy_Ke_T8_Chot_So!D23+D23</f>
        <v/>
      </c>
      <c r="M23" s="19">
        <f>IF(L23&gt;0, N23/L23, 0)</f>
        <v/>
      </c>
      <c r="N23" s="18">
        <f>Moc_Luy_Ke_T8_Chot_So!F23+F23</f>
        <v/>
      </c>
      <c r="O23" s="18">
        <f>Moc_Luy_Ke_T8_Chot_So!G23+G23</f>
        <v/>
      </c>
      <c r="P23" s="18">
        <f>Moc_Luy_Ke_T8_Chot_So!H23+H23</f>
        <v/>
      </c>
      <c r="Q23" s="18">
        <f>Moc_Luy_Ke_T8_Chot_So!I23+I23-J23</f>
        <v/>
      </c>
      <c r="R23" s="18">
        <f>Moc_Luy_Ke_T8_Chot_So!J23+K23</f>
        <v/>
      </c>
    </row>
    <row r="24" ht="20" customHeight="1">
      <c r="A24" s="20" t="inlineStr">
        <is>
          <t>4.1</t>
        </is>
      </c>
      <c r="B24" s="21" t="inlineStr">
        <is>
          <t xml:space="preserve">  VP VPS - hoạt động KD</t>
        </is>
      </c>
      <c r="C24" s="22" t="inlineStr"/>
      <c r="D24" s="23" t="n"/>
      <c r="E24" s="24">
        <f>IF(D24&gt;0, F24/D24, 0)</f>
        <v/>
      </c>
      <c r="F24" s="23" t="n"/>
      <c r="G24" s="23" t="n"/>
      <c r="H24" s="23" t="n"/>
      <c r="I24" s="23" t="n"/>
      <c r="J24" s="23" t="n"/>
      <c r="K24" s="23">
        <f>F24+G24-H24+I24-J24</f>
        <v/>
      </c>
      <c r="L24" s="23">
        <f>Moc_Luy_Ke_T8_Chot_So!D24+D24</f>
        <v/>
      </c>
      <c r="M24" s="24">
        <f>IF(L24&gt;0, N24/L24, 0)</f>
        <v/>
      </c>
      <c r="N24" s="23">
        <f>Moc_Luy_Ke_T8_Chot_So!F24+F24</f>
        <v/>
      </c>
      <c r="O24" s="23">
        <f>Moc_Luy_Ke_T8_Chot_So!G24+G24</f>
        <v/>
      </c>
      <c r="P24" s="23">
        <f>Moc_Luy_Ke_T8_Chot_So!H24+H24</f>
        <v/>
      </c>
      <c r="Q24" s="23">
        <f>Moc_Luy_Ke_T8_Chot_So!I24+I24-J24</f>
        <v/>
      </c>
      <c r="R24" s="23">
        <f>Moc_Luy_Ke_T8_Chot_So!J24+K24</f>
        <v/>
      </c>
    </row>
    <row r="25" ht="20" customHeight="1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/>
      <c r="E25" s="29">
        <f>IF(D25&gt;0, F25/D25, 0)</f>
        <v/>
      </c>
      <c r="F25" s="28" t="n"/>
      <c r="G25" s="28" t="n"/>
      <c r="H25" s="28" t="n"/>
      <c r="I25" s="28" t="n"/>
      <c r="J25" s="28" t="n"/>
      <c r="K25" s="28">
        <f>F25+G25-H25+I25-J25</f>
        <v/>
      </c>
      <c r="L25" s="28">
        <f>Moc_Luy_Ke_T8_Chot_So!D25+D25</f>
        <v/>
      </c>
      <c r="M25" s="29">
        <f>IF(L25&gt;0, N25/L25, 0)</f>
        <v/>
      </c>
      <c r="N25" s="28">
        <f>Moc_Luy_Ke_T8_Chot_So!F25+F25</f>
        <v/>
      </c>
      <c r="O25" s="28">
        <f>Moc_Luy_Ke_T8_Chot_So!G25+G25</f>
        <v/>
      </c>
      <c r="P25" s="28">
        <f>Moc_Luy_Ke_T8_Chot_So!H25+H25</f>
        <v/>
      </c>
      <c r="Q25" s="28">
        <f>Moc_Luy_Ke_T8_Chot_So!I25+I25-J25</f>
        <v/>
      </c>
      <c r="R25" s="28">
        <f>Moc_Luy_Ke_T8_Chot_So!J25+K25</f>
        <v/>
      </c>
    </row>
    <row r="26" ht="20" customHeight="1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/>
      <c r="E26" s="29">
        <f>IF(D26&gt;0, F26/D26, 0)</f>
        <v/>
      </c>
      <c r="F26" s="28" t="n"/>
      <c r="G26" s="28" t="n"/>
      <c r="H26" s="28" t="n"/>
      <c r="I26" s="28" t="n"/>
      <c r="J26" s="28" t="n"/>
      <c r="K26" s="28">
        <f>F26+G26-H26+I26-J26</f>
        <v/>
      </c>
      <c r="L26" s="28">
        <f>Moc_Luy_Ke_T8_Chot_So!D26+D26</f>
        <v/>
      </c>
      <c r="M26" s="29">
        <f>IF(L26&gt;0, N26/L26, 0)</f>
        <v/>
      </c>
      <c r="N26" s="28">
        <f>Moc_Luy_Ke_T8_Chot_So!F26+F26</f>
        <v/>
      </c>
      <c r="O26" s="28">
        <f>Moc_Luy_Ke_T8_Chot_So!G26+G26</f>
        <v/>
      </c>
      <c r="P26" s="28">
        <f>Moc_Luy_Ke_T8_Chot_So!H26+H26</f>
        <v/>
      </c>
      <c r="Q26" s="28">
        <f>Moc_Luy_Ke_T8_Chot_So!I26+I26-J26</f>
        <v/>
      </c>
      <c r="R26" s="28">
        <f>Moc_Luy_Ke_T8_Chot_So!J26+K26</f>
        <v/>
      </c>
    </row>
    <row r="27" ht="20" customHeight="1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/>
      <c r="E27" s="29">
        <f>IF(D27&gt;0, F27/D27, 0)</f>
        <v/>
      </c>
      <c r="F27" s="28" t="n"/>
      <c r="G27" s="28" t="n"/>
      <c r="H27" s="28" t="n"/>
      <c r="I27" s="28" t="n"/>
      <c r="J27" s="28" t="n"/>
      <c r="K27" s="28">
        <f>F27+G27-H27+I27-J27</f>
        <v/>
      </c>
      <c r="L27" s="28">
        <f>Moc_Luy_Ke_T8_Chot_So!D27+D27</f>
        <v/>
      </c>
      <c r="M27" s="29">
        <f>IF(L27&gt;0, N27/L27, 0)</f>
        <v/>
      </c>
      <c r="N27" s="28">
        <f>Moc_Luy_Ke_T8_Chot_So!F27+F27</f>
        <v/>
      </c>
      <c r="O27" s="28">
        <f>Moc_Luy_Ke_T8_Chot_So!G27+G27</f>
        <v/>
      </c>
      <c r="P27" s="28">
        <f>Moc_Luy_Ke_T8_Chot_So!H27+H27</f>
        <v/>
      </c>
      <c r="Q27" s="28">
        <f>Moc_Luy_Ke_T8_Chot_So!I27+I27-J27</f>
        <v/>
      </c>
      <c r="R27" s="28">
        <f>Moc_Luy_Ke_T8_Chot_So!J27+K27</f>
        <v/>
      </c>
    </row>
    <row r="28" ht="20" customHeight="1">
      <c r="A28" s="20" t="inlineStr">
        <is>
          <t>4.2</t>
        </is>
      </c>
      <c r="B28" s="21" t="inlineStr">
        <is>
          <t xml:space="preserve">  HĐ đầu tư Tài chính</t>
        </is>
      </c>
      <c r="C28" s="22" t="inlineStr"/>
      <c r="D28" s="23" t="n"/>
      <c r="E28" s="24">
        <f>IF(D28&gt;0, F28/D28, 0)</f>
        <v/>
      </c>
      <c r="F28" s="23" t="n"/>
      <c r="G28" s="23" t="n"/>
      <c r="H28" s="23" t="n"/>
      <c r="I28" s="23" t="n"/>
      <c r="J28" s="23" t="n"/>
      <c r="K28" s="23">
        <f>F28+G28-H28+I28-J28</f>
        <v/>
      </c>
      <c r="L28" s="23">
        <f>Moc_Luy_Ke_T8_Chot_So!D28+D28</f>
        <v/>
      </c>
      <c r="M28" s="24">
        <f>IF(L28&gt;0, N28/L28, 0)</f>
        <v/>
      </c>
      <c r="N28" s="23">
        <f>Moc_Luy_Ke_T8_Chot_So!F28+F28</f>
        <v/>
      </c>
      <c r="O28" s="23">
        <f>Moc_Luy_Ke_T8_Chot_So!G28+G28</f>
        <v/>
      </c>
      <c r="P28" s="23">
        <f>Moc_Luy_Ke_T8_Chot_So!H28+H28</f>
        <v/>
      </c>
      <c r="Q28" s="23">
        <f>Moc_Luy_Ke_T8_Chot_So!I28+I28-J28</f>
        <v/>
      </c>
      <c r="R28" s="23">
        <f>Moc_Luy_Ke_T8_Chot_So!J28+K28</f>
        <v/>
      </c>
    </row>
    <row r="29" ht="20" customHeight="1">
      <c r="A29" s="15" t="inlineStr">
        <is>
          <t>5</t>
        </is>
      </c>
      <c r="B29" s="16" t="inlineStr">
        <is>
          <t>XESCO (Xem Sơn)</t>
        </is>
      </c>
      <c r="C29" s="17" t="n">
        <v>15000</v>
      </c>
      <c r="D29" s="18" t="n"/>
      <c r="E29" s="19">
        <f>IF(D29&gt;0, F29/D29, 0)</f>
        <v/>
      </c>
      <c r="F29" s="18" t="n"/>
      <c r="G29" s="18" t="n"/>
      <c r="H29" s="18" t="n"/>
      <c r="I29" s="18" t="n"/>
      <c r="J29" s="18" t="n"/>
      <c r="K29" s="18">
        <f>F29+G29-H29+I29-J29</f>
        <v/>
      </c>
      <c r="L29" s="18">
        <f>Moc_Luy_Ke_T8_Chot_So!D29+D29</f>
        <v/>
      </c>
      <c r="M29" s="19">
        <f>IF(L29&gt;0, N29/L29, 0)</f>
        <v/>
      </c>
      <c r="N29" s="18">
        <f>Moc_Luy_Ke_T8_Chot_So!F29+F29</f>
        <v/>
      </c>
      <c r="O29" s="18">
        <f>Moc_Luy_Ke_T8_Chot_So!G29+G29</f>
        <v/>
      </c>
      <c r="P29" s="18">
        <f>Moc_Luy_Ke_T8_Chot_So!H29+H29</f>
        <v/>
      </c>
      <c r="Q29" s="18">
        <f>Moc_Luy_Ke_T8_Chot_So!I29+I29-J29</f>
        <v/>
      </c>
      <c r="R29" s="18">
        <f>Moc_Luy_Ke_T8_Chot_So!J29+K29</f>
        <v/>
      </c>
    </row>
    <row r="30" ht="20" customHeight="1">
      <c r="A30" s="20" t="inlineStr">
        <is>
          <t>5.1</t>
        </is>
      </c>
      <c r="B30" s="21" t="inlineStr">
        <is>
          <t xml:space="preserve">  Xesco - KT</t>
        </is>
      </c>
      <c r="C30" s="22" t="inlineStr"/>
      <c r="D30" s="23" t="n"/>
      <c r="E30" s="24">
        <f>IF(D30&gt;0, F30/D30, 0)</f>
        <v/>
      </c>
      <c r="F30" s="23" t="n"/>
      <c r="G30" s="23" t="n"/>
      <c r="H30" s="23" t="n"/>
      <c r="I30" s="23" t="n"/>
      <c r="J30" s="23" t="n"/>
      <c r="K30" s="23">
        <f>F30+G30-H30+I30-J30</f>
        <v/>
      </c>
      <c r="L30" s="23">
        <f>Moc_Luy_Ke_T8_Chot_So!D30+D30</f>
        <v/>
      </c>
      <c r="M30" s="24">
        <f>IF(L30&gt;0, N30/L30, 0)</f>
        <v/>
      </c>
      <c r="N30" s="23">
        <f>Moc_Luy_Ke_T8_Chot_So!F30+F30</f>
        <v/>
      </c>
      <c r="O30" s="23">
        <f>Moc_Luy_Ke_T8_Chot_So!G30+G30</f>
        <v/>
      </c>
      <c r="P30" s="23">
        <f>Moc_Luy_Ke_T8_Chot_So!H30+H30</f>
        <v/>
      </c>
      <c r="Q30" s="23">
        <f>Moc_Luy_Ke_T8_Chot_So!I30+I30-J30</f>
        <v/>
      </c>
      <c r="R30" s="23">
        <f>Moc_Luy_Ke_T8_Chot_So!J30+K30</f>
        <v/>
      </c>
    </row>
    <row r="31" ht="20" customHeight="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/>
      <c r="E31" s="29">
        <f>IF(D31&gt;0, F31/D31, 0)</f>
        <v/>
      </c>
      <c r="F31" s="28" t="n"/>
      <c r="G31" s="28" t="n"/>
      <c r="H31" s="28" t="n"/>
      <c r="I31" s="28" t="n"/>
      <c r="J31" s="28" t="n"/>
      <c r="K31" s="28">
        <f>F31+G31-H31+I31-J31</f>
        <v/>
      </c>
      <c r="L31" s="28">
        <f>Moc_Luy_Ke_T8_Chot_So!D31+D31</f>
        <v/>
      </c>
      <c r="M31" s="29">
        <f>IF(L31&gt;0, N31/L31, 0)</f>
        <v/>
      </c>
      <c r="N31" s="28">
        <f>Moc_Luy_Ke_T8_Chot_So!F31+F31</f>
        <v/>
      </c>
      <c r="O31" s="28">
        <f>Moc_Luy_Ke_T8_Chot_So!G31+G31</f>
        <v/>
      </c>
      <c r="P31" s="28">
        <f>Moc_Luy_Ke_T8_Chot_So!H31+H31</f>
        <v/>
      </c>
      <c r="Q31" s="28">
        <f>Moc_Luy_Ke_T8_Chot_So!I31+I31-J31</f>
        <v/>
      </c>
      <c r="R31" s="28">
        <f>Moc_Luy_Ke_T8_Chot_So!J31+K31</f>
        <v/>
      </c>
    </row>
    <row r="32" ht="20" customHeight="1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/>
      <c r="E32" s="29">
        <f>IF(D32&gt;0, F32/D32, 0)</f>
        <v/>
      </c>
      <c r="F32" s="28" t="n"/>
      <c r="G32" s="28" t="n"/>
      <c r="H32" s="28" t="n"/>
      <c r="I32" s="28" t="n"/>
      <c r="J32" s="28" t="n"/>
      <c r="K32" s="28">
        <f>F32+G32-H32+I32-J32</f>
        <v/>
      </c>
      <c r="L32" s="28">
        <f>Moc_Luy_Ke_T8_Chot_So!D32+D32</f>
        <v/>
      </c>
      <c r="M32" s="29">
        <f>IF(L32&gt;0, N32/L32, 0)</f>
        <v/>
      </c>
      <c r="N32" s="28">
        <f>Moc_Luy_Ke_T8_Chot_So!F32+F32</f>
        <v/>
      </c>
      <c r="O32" s="28">
        <f>Moc_Luy_Ke_T8_Chot_So!G32+G32</f>
        <v/>
      </c>
      <c r="P32" s="28">
        <f>Moc_Luy_Ke_T8_Chot_So!H32+H32</f>
        <v/>
      </c>
      <c r="Q32" s="28">
        <f>Moc_Luy_Ke_T8_Chot_So!I32+I32-J32</f>
        <v/>
      </c>
      <c r="R32" s="28">
        <f>Moc_Luy_Ke_T8_Chot_So!J32+K32</f>
        <v/>
      </c>
    </row>
    <row r="33" ht="20" customHeight="1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/>
      <c r="E33" s="29">
        <f>IF(D33&gt;0, F33/D33, 0)</f>
        <v/>
      </c>
      <c r="F33" s="28" t="n"/>
      <c r="G33" s="28" t="n"/>
      <c r="H33" s="28" t="n"/>
      <c r="I33" s="28" t="n"/>
      <c r="J33" s="28" t="n"/>
      <c r="K33" s="28">
        <f>F33+G33-H33+I33-J33</f>
        <v/>
      </c>
      <c r="L33" s="28">
        <f>Moc_Luy_Ke_T8_Chot_So!D33+D33</f>
        <v/>
      </c>
      <c r="M33" s="29">
        <f>IF(L33&gt;0, N33/L33, 0)</f>
        <v/>
      </c>
      <c r="N33" s="28">
        <f>Moc_Luy_Ke_T8_Chot_So!F33+F33</f>
        <v/>
      </c>
      <c r="O33" s="28">
        <f>Moc_Luy_Ke_T8_Chot_So!G33+G33</f>
        <v/>
      </c>
      <c r="P33" s="28">
        <f>Moc_Luy_Ke_T8_Chot_So!H33+H33</f>
        <v/>
      </c>
      <c r="Q33" s="28">
        <f>Moc_Luy_Ke_T8_Chot_So!I33+I33-J33</f>
        <v/>
      </c>
      <c r="R33" s="28">
        <f>Moc_Luy_Ke_T8_Chot_So!J33+K33</f>
        <v/>
      </c>
    </row>
    <row r="34" ht="20" customHeight="1">
      <c r="A34" s="20" t="inlineStr">
        <is>
          <t>5.2</t>
        </is>
      </c>
      <c r="B34" s="21" t="inlineStr">
        <is>
          <t xml:space="preserve">  Xesco - KD</t>
        </is>
      </c>
      <c r="C34" s="22" t="inlineStr"/>
      <c r="D34" s="23" t="n"/>
      <c r="E34" s="24">
        <f>IF(D34&gt;0, F34/D34, 0)</f>
        <v/>
      </c>
      <c r="F34" s="23" t="n"/>
      <c r="G34" s="23" t="n"/>
      <c r="H34" s="23" t="n"/>
      <c r="I34" s="23" t="n"/>
      <c r="J34" s="23" t="n"/>
      <c r="K34" s="23">
        <f>F34+G34-H34+I34-J34</f>
        <v/>
      </c>
      <c r="L34" s="23">
        <f>Moc_Luy_Ke_T8_Chot_So!D34+D34</f>
        <v/>
      </c>
      <c r="M34" s="24">
        <f>IF(L34&gt;0, N34/L34, 0)</f>
        <v/>
      </c>
      <c r="N34" s="23">
        <f>Moc_Luy_Ke_T8_Chot_So!F34+F34</f>
        <v/>
      </c>
      <c r="O34" s="23">
        <f>Moc_Luy_Ke_T8_Chot_So!G34+G34</f>
        <v/>
      </c>
      <c r="P34" s="23">
        <f>Moc_Luy_Ke_T8_Chot_So!H34+H34</f>
        <v/>
      </c>
      <c r="Q34" s="23">
        <f>Moc_Luy_Ke_T8_Chot_So!I34+I34-J34</f>
        <v/>
      </c>
      <c r="R34" s="23">
        <f>Moc_Luy_Ke_T8_Chot_So!J34+K34</f>
        <v/>
      </c>
    </row>
    <row r="35" ht="20" customHeight="1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/>
      <c r="E35" s="29">
        <f>IF(D35&gt;0, F35/D35, 0)</f>
        <v/>
      </c>
      <c r="F35" s="28" t="n"/>
      <c r="G35" s="28" t="n"/>
      <c r="H35" s="28" t="n"/>
      <c r="I35" s="28" t="n"/>
      <c r="J35" s="28" t="n"/>
      <c r="K35" s="28">
        <f>F35+G35-H35+I35-J35</f>
        <v/>
      </c>
      <c r="L35" s="28">
        <f>Moc_Luy_Ke_T8_Chot_So!D35+D35</f>
        <v/>
      </c>
      <c r="M35" s="29">
        <f>IF(L35&gt;0, N35/L35, 0)</f>
        <v/>
      </c>
      <c r="N35" s="28">
        <f>Moc_Luy_Ke_T8_Chot_So!F35+F35</f>
        <v/>
      </c>
      <c r="O35" s="28">
        <f>Moc_Luy_Ke_T8_Chot_So!G35+G35</f>
        <v/>
      </c>
      <c r="P35" s="28">
        <f>Moc_Luy_Ke_T8_Chot_So!H35+H35</f>
        <v/>
      </c>
      <c r="Q35" s="28">
        <f>Moc_Luy_Ke_T8_Chot_So!I35+I35-J35</f>
        <v/>
      </c>
      <c r="R35" s="28">
        <f>Moc_Luy_Ke_T8_Chot_So!J35+K35</f>
        <v/>
      </c>
    </row>
    <row r="36" ht="20" customHeight="1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/>
      <c r="E36" s="29">
        <f>IF(D36&gt;0, F36/D36, 0)</f>
        <v/>
      </c>
      <c r="F36" s="28" t="n"/>
      <c r="G36" s="28" t="n"/>
      <c r="H36" s="28" t="n"/>
      <c r="I36" s="28" t="n"/>
      <c r="J36" s="28" t="n"/>
      <c r="K36" s="28">
        <f>F36+G36-H36+I36-J36</f>
        <v/>
      </c>
      <c r="L36" s="28">
        <f>Moc_Luy_Ke_T8_Chot_So!D36+D36</f>
        <v/>
      </c>
      <c r="M36" s="29">
        <f>IF(L36&gt;0, N36/L36, 0)</f>
        <v/>
      </c>
      <c r="N36" s="28">
        <f>Moc_Luy_Ke_T8_Chot_So!F36+F36</f>
        <v/>
      </c>
      <c r="O36" s="28">
        <f>Moc_Luy_Ke_T8_Chot_So!G36+G36</f>
        <v/>
      </c>
      <c r="P36" s="28">
        <f>Moc_Luy_Ke_T8_Chot_So!H36+H36</f>
        <v/>
      </c>
      <c r="Q36" s="28">
        <f>Moc_Luy_Ke_T8_Chot_So!I36+I36-J36</f>
        <v/>
      </c>
      <c r="R36" s="28">
        <f>Moc_Luy_Ke_T8_Chot_So!J36+K36</f>
        <v/>
      </c>
    </row>
    <row r="37" ht="20" customHeight="1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/>
      <c r="E37" s="29">
        <f>IF(D37&gt;0, F37/D37, 0)</f>
        <v/>
      </c>
      <c r="F37" s="28" t="n"/>
      <c r="G37" s="28" t="n"/>
      <c r="H37" s="28" t="n"/>
      <c r="I37" s="28" t="n"/>
      <c r="J37" s="28" t="n"/>
      <c r="K37" s="28">
        <f>F37+G37-H37+I37-J37</f>
        <v/>
      </c>
      <c r="L37" s="28">
        <f>Moc_Luy_Ke_T8_Chot_So!D37+D37</f>
        <v/>
      </c>
      <c r="M37" s="29">
        <f>IF(L37&gt;0, N37/L37, 0)</f>
        <v/>
      </c>
      <c r="N37" s="28">
        <f>Moc_Luy_Ke_T8_Chot_So!F37+F37</f>
        <v/>
      </c>
      <c r="O37" s="28">
        <f>Moc_Luy_Ke_T8_Chot_So!G37+G37</f>
        <v/>
      </c>
      <c r="P37" s="28">
        <f>Moc_Luy_Ke_T8_Chot_So!H37+H37</f>
        <v/>
      </c>
      <c r="Q37" s="28">
        <f>Moc_Luy_Ke_T8_Chot_So!I37+I37-J37</f>
        <v/>
      </c>
      <c r="R37" s="28">
        <f>Moc_Luy_Ke_T8_Chot_So!J37+K37</f>
        <v/>
      </c>
    </row>
    <row r="38" ht="20" customHeight="1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/>
      <c r="E38" s="29">
        <f>IF(D38&gt;0, F38/D38, 0)</f>
        <v/>
      </c>
      <c r="F38" s="28" t="n"/>
      <c r="G38" s="28" t="n"/>
      <c r="H38" s="28" t="n"/>
      <c r="I38" s="28" t="n"/>
      <c r="J38" s="28" t="n"/>
      <c r="K38" s="28">
        <f>F38+G38-H38+I38-J38</f>
        <v/>
      </c>
      <c r="L38" s="28">
        <f>Moc_Luy_Ke_T8_Chot_So!D38+D38</f>
        <v/>
      </c>
      <c r="M38" s="29">
        <f>IF(L38&gt;0, N38/L38, 0)</f>
        <v/>
      </c>
      <c r="N38" s="28">
        <f>Moc_Luy_Ke_T8_Chot_So!F38+F38</f>
        <v/>
      </c>
      <c r="O38" s="28">
        <f>Moc_Luy_Ke_T8_Chot_So!G38+G38</f>
        <v/>
      </c>
      <c r="P38" s="28">
        <f>Moc_Luy_Ke_T8_Chot_So!H38+H38</f>
        <v/>
      </c>
      <c r="Q38" s="28">
        <f>Moc_Luy_Ke_T8_Chot_So!I38+I38-J38</f>
        <v/>
      </c>
      <c r="R38" s="28">
        <f>Moc_Luy_Ke_T8_Chot_So!J38+K38</f>
        <v/>
      </c>
    </row>
    <row r="39" ht="20" customHeight="1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/>
      <c r="E39" s="29">
        <f>IF(D39&gt;0, F39/D39, 0)</f>
        <v/>
      </c>
      <c r="F39" s="28" t="n"/>
      <c r="G39" s="28" t="n"/>
      <c r="H39" s="28" t="n"/>
      <c r="I39" s="28" t="n"/>
      <c r="J39" s="28" t="n"/>
      <c r="K39" s="28">
        <f>F39+G39-H39+I39-J39</f>
        <v/>
      </c>
      <c r="L39" s="28">
        <f>Moc_Luy_Ke_T8_Chot_So!D39+D39</f>
        <v/>
      </c>
      <c r="M39" s="29">
        <f>IF(L39&gt;0, N39/L39, 0)</f>
        <v/>
      </c>
      <c r="N39" s="28">
        <f>Moc_Luy_Ke_T8_Chot_So!F39+F39</f>
        <v/>
      </c>
      <c r="O39" s="28">
        <f>Moc_Luy_Ke_T8_Chot_So!G39+G39</f>
        <v/>
      </c>
      <c r="P39" s="28">
        <f>Moc_Luy_Ke_T8_Chot_So!H39+H39</f>
        <v/>
      </c>
      <c r="Q39" s="28">
        <f>Moc_Luy_Ke_T8_Chot_So!I39+I39-J39</f>
        <v/>
      </c>
      <c r="R39" s="28">
        <f>Moc_Luy_Ke_T8_Chot_So!J39+K39</f>
        <v/>
      </c>
    </row>
    <row r="40" ht="20" customHeight="1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8" t="n"/>
      <c r="E40" s="29">
        <f>IF(D40&gt;0, F40/D40, 0)</f>
        <v/>
      </c>
      <c r="F40" s="28" t="n"/>
      <c r="G40" s="28" t="n"/>
      <c r="H40" s="28" t="n"/>
      <c r="I40" s="28" t="n"/>
      <c r="J40" s="28" t="n"/>
      <c r="K40" s="28">
        <f>F40+G40-H40+I40-J40</f>
        <v/>
      </c>
      <c r="L40" s="28">
        <f>Moc_Luy_Ke_T8_Chot_So!D40+D40</f>
        <v/>
      </c>
      <c r="M40" s="29">
        <f>IF(L40&gt;0, N40/L40, 0)</f>
        <v/>
      </c>
      <c r="N40" s="28">
        <f>Moc_Luy_Ke_T8_Chot_So!F40+F40</f>
        <v/>
      </c>
      <c r="O40" s="28">
        <f>Moc_Luy_Ke_T8_Chot_So!G40+G40</f>
        <v/>
      </c>
      <c r="P40" s="28">
        <f>Moc_Luy_Ke_T8_Chot_So!H40+H40</f>
        <v/>
      </c>
      <c r="Q40" s="28">
        <f>Moc_Luy_Ke_T8_Chot_So!I40+I40-J40</f>
        <v/>
      </c>
      <c r="R40" s="28">
        <f>Moc_Luy_Ke_T8_Chot_So!J40+K40</f>
        <v/>
      </c>
    </row>
    <row r="41" ht="20" customHeight="1">
      <c r="A41" s="10" t="inlineStr">
        <is>
          <t>II</t>
        </is>
      </c>
      <c r="B41" s="11" t="inlineStr">
        <is>
          <t>VPS MIỀN TRUNG</t>
        </is>
      </c>
      <c r="C41" s="12" t="n">
        <v>3000</v>
      </c>
      <c r="D41" s="13" t="n"/>
      <c r="E41" s="14">
        <f>IF(D41&gt;0, F41/D41, 0)</f>
        <v/>
      </c>
      <c r="F41" s="13" t="n"/>
      <c r="G41" s="13" t="n"/>
      <c r="H41" s="13" t="n"/>
      <c r="I41" s="13" t="n"/>
      <c r="J41" s="13" t="n"/>
      <c r="K41" s="13">
        <f>F41+G41-H41+I41-J41</f>
        <v/>
      </c>
      <c r="L41" s="13">
        <f>Moc_Luy_Ke_T8_Chot_So!D41+D41</f>
        <v/>
      </c>
      <c r="M41" s="14">
        <f>IF(L41&gt;0, N41/L41, 0)</f>
        <v/>
      </c>
      <c r="N41" s="13">
        <f>Moc_Luy_Ke_T8_Chot_So!F41+F41</f>
        <v/>
      </c>
      <c r="O41" s="13">
        <f>Moc_Luy_Ke_T8_Chot_So!G41+G41</f>
        <v/>
      </c>
      <c r="P41" s="13">
        <f>Moc_Luy_Ke_T8_Chot_So!H41+H41</f>
        <v/>
      </c>
      <c r="Q41" s="13">
        <f>Moc_Luy_Ke_T8_Chot_So!I41+I41-J41</f>
        <v/>
      </c>
      <c r="R41" s="13">
        <f>Moc_Luy_Ke_T8_Chot_So!J41+K41</f>
        <v/>
      </c>
    </row>
    <row r="42" ht="20" customHeight="1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/>
      <c r="E42" s="29">
        <f>IF(D42&gt;0, F42/D42, 0)</f>
        <v/>
      </c>
      <c r="F42" s="28" t="n"/>
      <c r="G42" s="28" t="n"/>
      <c r="H42" s="28" t="n"/>
      <c r="I42" s="28" t="n"/>
      <c r="J42" s="28" t="n"/>
      <c r="K42" s="28">
        <f>F42+G42-H42+I42-J42</f>
        <v/>
      </c>
      <c r="L42" s="28">
        <f>Moc_Luy_Ke_T8_Chot_So!D42+D42</f>
        <v/>
      </c>
      <c r="M42" s="29">
        <f>IF(L42&gt;0, N42/L42, 0)</f>
        <v/>
      </c>
      <c r="N42" s="28">
        <f>Moc_Luy_Ke_T8_Chot_So!F42+F42</f>
        <v/>
      </c>
      <c r="O42" s="28">
        <f>Moc_Luy_Ke_T8_Chot_So!G42+G42</f>
        <v/>
      </c>
      <c r="P42" s="28">
        <f>Moc_Luy_Ke_T8_Chot_So!H42+H42</f>
        <v/>
      </c>
      <c r="Q42" s="28">
        <f>Moc_Luy_Ke_T8_Chot_So!I42+I42-J42</f>
        <v/>
      </c>
      <c r="R42" s="28">
        <f>Moc_Luy_Ke_T8_Chot_So!J42+K42</f>
        <v/>
      </c>
    </row>
    <row r="43" ht="20" customHeight="1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/>
      <c r="E43" s="29">
        <f>IF(D43&gt;0, F43/D43, 0)</f>
        <v/>
      </c>
      <c r="F43" s="28" t="n"/>
      <c r="G43" s="28" t="n"/>
      <c r="H43" s="28" t="n"/>
      <c r="I43" s="28" t="n"/>
      <c r="J43" s="28" t="n"/>
      <c r="K43" s="28">
        <f>F43+G43-H43+I43-J43</f>
        <v/>
      </c>
      <c r="L43" s="28">
        <f>Moc_Luy_Ke_T8_Chot_So!D43+D43</f>
        <v/>
      </c>
      <c r="M43" s="29">
        <f>IF(L43&gt;0, N43/L43, 0)</f>
        <v/>
      </c>
      <c r="N43" s="28">
        <f>Moc_Luy_Ke_T8_Chot_So!F43+F43</f>
        <v/>
      </c>
      <c r="O43" s="28">
        <f>Moc_Luy_Ke_T8_Chot_So!G43+G43</f>
        <v/>
      </c>
      <c r="P43" s="28">
        <f>Moc_Luy_Ke_T8_Chot_So!H43+H43</f>
        <v/>
      </c>
      <c r="Q43" s="28">
        <f>Moc_Luy_Ke_T8_Chot_So!I43+I43-J43</f>
        <v/>
      </c>
      <c r="R43" s="28">
        <f>Moc_Luy_Ke_T8_Chot_So!J43+K43</f>
        <v/>
      </c>
    </row>
    <row r="44" ht="20" customHeight="1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/>
      <c r="E44" s="29">
        <f>IF(D44&gt;0, F44/D44, 0)</f>
        <v/>
      </c>
      <c r="F44" s="28" t="n"/>
      <c r="G44" s="28" t="n"/>
      <c r="H44" s="28" t="n"/>
      <c r="I44" s="28" t="n"/>
      <c r="J44" s="28" t="n"/>
      <c r="K44" s="28">
        <f>F44+G44-H44+I44-J44</f>
        <v/>
      </c>
      <c r="L44" s="28">
        <f>Moc_Luy_Ke_T8_Chot_So!D44+D44</f>
        <v/>
      </c>
      <c r="M44" s="29">
        <f>IF(L44&gt;0, N44/L44, 0)</f>
        <v/>
      </c>
      <c r="N44" s="28">
        <f>Moc_Luy_Ke_T8_Chot_So!F44+F44</f>
        <v/>
      </c>
      <c r="O44" s="28">
        <f>Moc_Luy_Ke_T8_Chot_So!G44+G44</f>
        <v/>
      </c>
      <c r="P44" s="28">
        <f>Moc_Luy_Ke_T8_Chot_So!H44+H44</f>
        <v/>
      </c>
      <c r="Q44" s="28">
        <f>Moc_Luy_Ke_T8_Chot_So!I44+I44-J44</f>
        <v/>
      </c>
      <c r="R44" s="28">
        <f>Moc_Luy_Ke_T8_Chot_So!J44+K44</f>
        <v/>
      </c>
    </row>
    <row r="45" ht="20" customHeight="1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/>
      <c r="E45" s="29">
        <f>IF(D45&gt;0, F45/D45, 0)</f>
        <v/>
      </c>
      <c r="F45" s="28" t="n"/>
      <c r="G45" s="28" t="n"/>
      <c r="H45" s="28" t="n"/>
      <c r="I45" s="28" t="n"/>
      <c r="J45" s="28" t="n"/>
      <c r="K45" s="28">
        <f>F45+G45-H45+I45-J45</f>
        <v/>
      </c>
      <c r="L45" s="28">
        <f>Moc_Luy_Ke_T8_Chot_So!D45+D45</f>
        <v/>
      </c>
      <c r="M45" s="29">
        <f>IF(L45&gt;0, N45/L45, 0)</f>
        <v/>
      </c>
      <c r="N45" s="28">
        <f>Moc_Luy_Ke_T8_Chot_So!F45+F45</f>
        <v/>
      </c>
      <c r="O45" s="28">
        <f>Moc_Luy_Ke_T8_Chot_So!G45+G45</f>
        <v/>
      </c>
      <c r="P45" s="28">
        <f>Moc_Luy_Ke_T8_Chot_So!H45+H45</f>
        <v/>
      </c>
      <c r="Q45" s="28">
        <f>Moc_Luy_Ke_T8_Chot_So!I45+I45-J45</f>
        <v/>
      </c>
      <c r="R45" s="28">
        <f>Moc_Luy_Ke_T8_Chot_So!J45+K45</f>
        <v/>
      </c>
    </row>
    <row r="46" ht="20" customHeight="1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/>
      <c r="E46" s="29">
        <f>IF(D46&gt;0, F46/D46, 0)</f>
        <v/>
      </c>
      <c r="F46" s="28" t="n"/>
      <c r="G46" s="28" t="n"/>
      <c r="H46" s="28" t="n"/>
      <c r="I46" s="28" t="n"/>
      <c r="J46" s="28" t="n"/>
      <c r="K46" s="28">
        <f>F46+G46-H46+I46-J46</f>
        <v/>
      </c>
      <c r="L46" s="28">
        <f>Moc_Luy_Ke_T8_Chot_So!D46+D46</f>
        <v/>
      </c>
      <c r="M46" s="29">
        <f>IF(L46&gt;0, N46/L46, 0)</f>
        <v/>
      </c>
      <c r="N46" s="28">
        <f>Moc_Luy_Ke_T8_Chot_So!F46+F46</f>
        <v/>
      </c>
      <c r="O46" s="28">
        <f>Moc_Luy_Ke_T8_Chot_So!G46+G46</f>
        <v/>
      </c>
      <c r="P46" s="28">
        <f>Moc_Luy_Ke_T8_Chot_So!H46+H46</f>
        <v/>
      </c>
      <c r="Q46" s="28">
        <f>Moc_Luy_Ke_T8_Chot_So!I46+I46-J46</f>
        <v/>
      </c>
      <c r="R46" s="28">
        <f>Moc_Luy_Ke_T8_Chot_So!J46+K46</f>
        <v/>
      </c>
    </row>
    <row r="47" ht="20" customHeight="1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/>
      <c r="E47" s="29">
        <f>IF(D47&gt;0, F47/D47, 0)</f>
        <v/>
      </c>
      <c r="F47" s="28" t="n"/>
      <c r="G47" s="28" t="n"/>
      <c r="H47" s="28" t="n"/>
      <c r="I47" s="28" t="n"/>
      <c r="J47" s="28" t="n"/>
      <c r="K47" s="28">
        <f>F47+G47-H47+I47-J47</f>
        <v/>
      </c>
      <c r="L47" s="28">
        <f>Moc_Luy_Ke_T8_Chot_So!D47+D47</f>
        <v/>
      </c>
      <c r="M47" s="29">
        <f>IF(L47&gt;0, N47/L47, 0)</f>
        <v/>
      </c>
      <c r="N47" s="28">
        <f>Moc_Luy_Ke_T8_Chot_So!F47+F47</f>
        <v/>
      </c>
      <c r="O47" s="28">
        <f>Moc_Luy_Ke_T8_Chot_So!G47+G47</f>
        <v/>
      </c>
      <c r="P47" s="28">
        <f>Moc_Luy_Ke_T8_Chot_So!H47+H47</f>
        <v/>
      </c>
      <c r="Q47" s="28">
        <f>Moc_Luy_Ke_T8_Chot_So!I47+I47-J47</f>
        <v/>
      </c>
      <c r="R47" s="28">
        <f>Moc_Luy_Ke_T8_Chot_So!J47+K47</f>
        <v/>
      </c>
    </row>
    <row r="48" ht="20" customHeight="1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/>
      <c r="E48" s="29">
        <f>IF(D48&gt;0, F48/D48, 0)</f>
        <v/>
      </c>
      <c r="F48" s="28" t="n"/>
      <c r="G48" s="28" t="n"/>
      <c r="H48" s="28" t="n"/>
      <c r="I48" s="28" t="n"/>
      <c r="J48" s="28" t="n"/>
      <c r="K48" s="28">
        <f>F48+G48-H48+I48-J48</f>
        <v/>
      </c>
      <c r="L48" s="28">
        <f>Moc_Luy_Ke_T8_Chot_So!D48+D48</f>
        <v/>
      </c>
      <c r="M48" s="29">
        <f>IF(L48&gt;0, N48/L48, 0)</f>
        <v/>
      </c>
      <c r="N48" s="28">
        <f>Moc_Luy_Ke_T8_Chot_So!F48+F48</f>
        <v/>
      </c>
      <c r="O48" s="28">
        <f>Moc_Luy_Ke_T8_Chot_So!G48+G48</f>
        <v/>
      </c>
      <c r="P48" s="28">
        <f>Moc_Luy_Ke_T8_Chot_So!H48+H48</f>
        <v/>
      </c>
      <c r="Q48" s="28">
        <f>Moc_Luy_Ke_T8_Chot_So!I48+I48-J48</f>
        <v/>
      </c>
      <c r="R48" s="28">
        <f>Moc_Luy_Ke_T8_Chot_So!J48+K48</f>
        <v/>
      </c>
    </row>
    <row r="49" ht="20" customHeight="1">
      <c r="A49" s="30" t="inlineStr">
        <is>
          <t>★</t>
        </is>
      </c>
      <c r="B49" s="31" t="inlineStr">
        <is>
          <t>TỔNG CỘNG TOÀN TẬP ĐOÀN</t>
        </is>
      </c>
      <c r="C49" s="32" t="n">
        <v>93000</v>
      </c>
      <c r="D49" s="33" t="n"/>
      <c r="E49" s="34">
        <f>IF(D49&gt;0, F49/D49, 0)</f>
        <v/>
      </c>
      <c r="F49" s="33" t="n"/>
      <c r="G49" s="33" t="n"/>
      <c r="H49" s="33" t="n"/>
      <c r="I49" s="33" t="n"/>
      <c r="J49" s="33" t="n"/>
      <c r="K49" s="33">
        <f>F49+G49-H49+I49-J49</f>
        <v/>
      </c>
      <c r="L49" s="33">
        <f>Moc_Luy_Ke_T8_Chot_So!D49+D49</f>
        <v/>
      </c>
      <c r="M49" s="34">
        <f>IF(L49&gt;0, N49/L49, 0)</f>
        <v/>
      </c>
      <c r="N49" s="33">
        <f>Moc_Luy_Ke_T8_Chot_So!F49+F49</f>
        <v/>
      </c>
      <c r="O49" s="33">
        <f>Moc_Luy_Ke_T8_Chot_So!G49+G49</f>
        <v/>
      </c>
      <c r="P49" s="33">
        <f>Moc_Luy_Ke_T8_Chot_So!H49+H49</f>
        <v/>
      </c>
      <c r="Q49" s="33">
        <f>Moc_Luy_Ke_T8_Chot_So!I49+I49-J49</f>
        <v/>
      </c>
      <c r="R49" s="33">
        <f>Moc_Luy_Ke_T8_Chot_So!J49+K49</f>
        <v/>
      </c>
    </row>
  </sheetData>
  <mergeCells count="7">
    <mergeCell ref="D3:K3"/>
    <mergeCell ref="A2:R2"/>
    <mergeCell ref="C3:C4"/>
    <mergeCell ref="B3:B4"/>
    <mergeCell ref="A3:A4"/>
    <mergeCell ref="L3:R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9" customWidth="1" min="5" max="5"/>
    <col width="11" customWidth="1" min="6" max="6"/>
    <col width="9" customWidth="1" min="7" max="7"/>
    <col width="11" customWidth="1" min="8" max="8"/>
    <col width="10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9" customWidth="1" min="15" max="15"/>
    <col width="12" customWidth="1" min="16" max="16"/>
    <col width="11" customWidth="1" min="17" max="17"/>
    <col width="13" customWidth="1" min="18" max="18"/>
  </cols>
  <sheetData>
    <row r="1" ht="28" customHeight="1">
      <c r="A1" s="1" t="inlineStr">
        <is>
          <t>BÁO CÁO KẾT QUẢ HOẠT ĐỘNG KINH DOANH - THÁNG 10/2026</t>
        </is>
      </c>
    </row>
    <row r="2" ht="18" customHeight="1">
      <c r="A2" s="2" t="inlineStr">
        <is>
          <t>Đơn vị tính: Triệu đồng (Tr.đ) | Tự động cộng dồn lũy kế kế thừa Tháng 09 | Đồng bộ trực tiếp Dashboard VPS Group</t>
        </is>
      </c>
    </row>
    <row r="3" ht="24" customHeight="1">
      <c r="A3" s="3" t="inlineStr">
        <is>
          <t>TT</t>
        </is>
      </c>
      <c r="B3" s="4" t="inlineStr">
        <is>
          <t>NỘI DUNG / ĐƠN VỊ KINH DOANH</t>
        </is>
      </c>
      <c r="C3" s="3" t="inlineStr">
        <is>
          <t>VỐN ĐT</t>
        </is>
      </c>
      <c r="D3" s="5" t="inlineStr">
        <is>
          <t>PHÁT SINH THÁNG 10/2026</t>
        </is>
      </c>
      <c r="E3" s="6" t="n"/>
      <c r="F3" s="6" t="n"/>
      <c r="G3" s="6" t="n"/>
      <c r="H3" s="6" t="n"/>
      <c r="I3" s="6" t="n"/>
      <c r="J3" s="6" t="n"/>
      <c r="K3" s="6" t="n"/>
      <c r="L3" s="7" t="inlineStr">
        <is>
          <t>LŨY KẾ ĐẾN HẾT THÁNG 10/2026</t>
        </is>
      </c>
      <c r="M3" s="6" t="n"/>
      <c r="N3" s="6" t="n"/>
      <c r="O3" s="6" t="n"/>
      <c r="P3" s="6" t="n"/>
      <c r="Q3" s="6" t="n"/>
      <c r="R3" s="6" t="n"/>
    </row>
    <row r="4" ht="24" customHeight="1">
      <c r="A4" s="6" t="n"/>
      <c r="B4" s="6" t="n"/>
      <c r="C4" s="6" t="n"/>
      <c r="D4" s="8" t="inlineStr">
        <is>
          <t>DS</t>
        </is>
      </c>
      <c r="E4" s="8" t="inlineStr">
        <is>
          <t>% LG</t>
        </is>
      </c>
      <c r="F4" s="8" t="inlineStr">
        <is>
          <t>LG</t>
        </is>
      </c>
      <c r="G4" s="8" t="inlineStr">
        <is>
          <t>HT LG</t>
        </is>
      </c>
      <c r="H4" s="8" t="inlineStr">
        <is>
          <t>CHI PHÍ</t>
        </is>
      </c>
      <c r="I4" s="8" t="inlineStr">
        <is>
          <t>TN KHÁC</t>
        </is>
      </c>
      <c r="J4" s="8" t="inlineStr">
        <is>
          <t>CP KHÁC</t>
        </is>
      </c>
      <c r="K4" s="8" t="inlineStr">
        <is>
          <t>LNTT</t>
        </is>
      </c>
      <c r="L4" s="9" t="inlineStr">
        <is>
          <t>DS</t>
        </is>
      </c>
      <c r="M4" s="9" t="inlineStr">
        <is>
          <t>% LG</t>
        </is>
      </c>
      <c r="N4" s="9" t="inlineStr">
        <is>
          <t>LG</t>
        </is>
      </c>
      <c r="O4" s="9" t="inlineStr">
        <is>
          <t>HT LG</t>
        </is>
      </c>
      <c r="P4" s="9" t="inlineStr">
        <is>
          <t>CHI PHÍ</t>
        </is>
      </c>
      <c r="Q4" s="9" t="inlineStr">
        <is>
          <t>TN KHÁC</t>
        </is>
      </c>
      <c r="R4" s="9" t="inlineStr">
        <is>
          <t>LNTT</t>
        </is>
      </c>
    </row>
    <row r="5" ht="20" customHeight="1">
      <c r="A5" s="10" t="inlineStr">
        <is>
          <t>I</t>
        </is>
      </c>
      <c r="B5" s="11" t="inlineStr">
        <is>
          <t>MIỀN BẮC</t>
        </is>
      </c>
      <c r="C5" s="12" t="n">
        <v>90000</v>
      </c>
      <c r="D5" s="13" t="n"/>
      <c r="E5" s="14">
        <f>IF(D5&gt;0, F5/D5, 0)</f>
        <v/>
      </c>
      <c r="F5" s="13" t="n"/>
      <c r="G5" s="13" t="n"/>
      <c r="H5" s="13" t="n"/>
      <c r="I5" s="13" t="n"/>
      <c r="J5" s="13" t="n"/>
      <c r="K5" s="13">
        <f>F5+G5-H5+I5-J5</f>
        <v/>
      </c>
      <c r="L5" s="13">
        <f>'Thang_09'!L5+D5</f>
        <v/>
      </c>
      <c r="M5" s="14">
        <f>IF(L5&gt;0, N5/L5, 0)</f>
        <v/>
      </c>
      <c r="N5" s="13">
        <f>'Thang_09'!N5+F5</f>
        <v/>
      </c>
      <c r="O5" s="13">
        <f>'Thang_09'!O5+G5</f>
        <v/>
      </c>
      <c r="P5" s="13">
        <f>'Thang_09'!P5+H5</f>
        <v/>
      </c>
      <c r="Q5" s="13">
        <f>'Thang_09'!Q5+I5-J5</f>
        <v/>
      </c>
      <c r="R5" s="13">
        <f>'Thang_09'!R5+K5</f>
        <v/>
      </c>
    </row>
    <row r="6" ht="20" customHeight="1">
      <c r="A6" s="15" t="inlineStr">
        <is>
          <t>1</t>
        </is>
      </c>
      <c r="B6" s="16" t="inlineStr">
        <is>
          <t>THH (Tân Hồng Hà)</t>
        </is>
      </c>
      <c r="C6" s="17" t="n">
        <v>50000</v>
      </c>
      <c r="D6" s="18" t="n"/>
      <c r="E6" s="19">
        <f>IF(D6&gt;0, F6/D6, 0)</f>
        <v/>
      </c>
      <c r="F6" s="18" t="n"/>
      <c r="G6" s="18" t="n"/>
      <c r="H6" s="18" t="n"/>
      <c r="I6" s="18" t="n"/>
      <c r="J6" s="18" t="n"/>
      <c r="K6" s="18">
        <f>F6+G6-H6+I6-J6</f>
        <v/>
      </c>
      <c r="L6" s="18">
        <f>'Thang_09'!L6+D6</f>
        <v/>
      </c>
      <c r="M6" s="19">
        <f>IF(L6&gt;0, N6/L6, 0)</f>
        <v/>
      </c>
      <c r="N6" s="18">
        <f>'Thang_09'!N6+F6</f>
        <v/>
      </c>
      <c r="O6" s="18">
        <f>'Thang_09'!O6+G6</f>
        <v/>
      </c>
      <c r="P6" s="18">
        <f>'Thang_09'!P6+H6</f>
        <v/>
      </c>
      <c r="Q6" s="18">
        <f>'Thang_09'!Q6+I6-J6</f>
        <v/>
      </c>
      <c r="R6" s="18">
        <f>'Thang_09'!R6+K6</f>
        <v/>
      </c>
    </row>
    <row r="7" ht="20" customHeight="1">
      <c r="A7" s="20" t="inlineStr">
        <is>
          <t>a</t>
        </is>
      </c>
      <c r="B7" s="21" t="inlineStr">
        <is>
          <t xml:space="preserve">  Khối dịch vụ kỹ thuật</t>
        </is>
      </c>
      <c r="C7" s="22" t="inlineStr"/>
      <c r="D7" s="23" t="n"/>
      <c r="E7" s="24">
        <f>IF(D7&gt;0, F7/D7, 0)</f>
        <v/>
      </c>
      <c r="F7" s="23" t="n"/>
      <c r="G7" s="23" t="n"/>
      <c r="H7" s="23" t="n"/>
      <c r="I7" s="23" t="n"/>
      <c r="J7" s="23" t="n"/>
      <c r="K7" s="23">
        <f>F7+G7-H7+I7-J7</f>
        <v/>
      </c>
      <c r="L7" s="23">
        <f>'Thang_09'!L7+D7</f>
        <v/>
      </c>
      <c r="M7" s="24">
        <f>IF(L7&gt;0, N7/L7, 0)</f>
        <v/>
      </c>
      <c r="N7" s="23">
        <f>'Thang_09'!N7+F7</f>
        <v/>
      </c>
      <c r="O7" s="23">
        <f>'Thang_09'!O7+G7</f>
        <v/>
      </c>
      <c r="P7" s="23">
        <f>'Thang_09'!P7+H7</f>
        <v/>
      </c>
      <c r="Q7" s="23">
        <f>'Thang_09'!Q7+I7-J7</f>
        <v/>
      </c>
      <c r="R7" s="23">
        <f>'Thang_09'!R7+K7</f>
        <v/>
      </c>
    </row>
    <row r="8" ht="20" customHeight="1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/>
      <c r="E8" s="29">
        <f>IF(D8&gt;0, F8/D8, 0)</f>
        <v/>
      </c>
      <c r="F8" s="28" t="n"/>
      <c r="G8" s="28" t="n"/>
      <c r="H8" s="28" t="n"/>
      <c r="I8" s="28" t="n"/>
      <c r="J8" s="28" t="n"/>
      <c r="K8" s="28">
        <f>F8+G8-H8+I8-J8</f>
        <v/>
      </c>
      <c r="L8" s="28">
        <f>'Thang_09'!L8+D8</f>
        <v/>
      </c>
      <c r="M8" s="29">
        <f>IF(L8&gt;0, N8/L8, 0)</f>
        <v/>
      </c>
      <c r="N8" s="28">
        <f>'Thang_09'!N8+F8</f>
        <v/>
      </c>
      <c r="O8" s="28">
        <f>'Thang_09'!O8+G8</f>
        <v/>
      </c>
      <c r="P8" s="28">
        <f>'Thang_09'!P8+H8</f>
        <v/>
      </c>
      <c r="Q8" s="28">
        <f>'Thang_09'!Q8+I8-J8</f>
        <v/>
      </c>
      <c r="R8" s="28">
        <f>'Thang_09'!R8+K8</f>
        <v/>
      </c>
    </row>
    <row r="9" ht="20" customHeight="1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/>
      <c r="E9" s="29">
        <f>IF(D9&gt;0, F9/D9, 0)</f>
        <v/>
      </c>
      <c r="F9" s="28" t="n"/>
      <c r="G9" s="28" t="n"/>
      <c r="H9" s="28" t="n"/>
      <c r="I9" s="28" t="n"/>
      <c r="J9" s="28" t="n"/>
      <c r="K9" s="28">
        <f>F9+G9-H9+I9-J9</f>
        <v/>
      </c>
      <c r="L9" s="28">
        <f>'Thang_09'!L9+D9</f>
        <v/>
      </c>
      <c r="M9" s="29">
        <f>IF(L9&gt;0, N9/L9, 0)</f>
        <v/>
      </c>
      <c r="N9" s="28">
        <f>'Thang_09'!N9+F9</f>
        <v/>
      </c>
      <c r="O9" s="28">
        <f>'Thang_09'!O9+G9</f>
        <v/>
      </c>
      <c r="P9" s="28">
        <f>'Thang_09'!P9+H9</f>
        <v/>
      </c>
      <c r="Q9" s="28">
        <f>'Thang_09'!Q9+I9-J9</f>
        <v/>
      </c>
      <c r="R9" s="28">
        <f>'Thang_09'!R9+K9</f>
        <v/>
      </c>
    </row>
    <row r="10" ht="20" customHeight="1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/>
      <c r="E10" s="29">
        <f>IF(D10&gt;0, F10/D10, 0)</f>
        <v/>
      </c>
      <c r="F10" s="28" t="n"/>
      <c r="G10" s="28" t="n"/>
      <c r="H10" s="28" t="n"/>
      <c r="I10" s="28" t="n"/>
      <c r="J10" s="28" t="n"/>
      <c r="K10" s="28">
        <f>F10+G10-H10+I10-J10</f>
        <v/>
      </c>
      <c r="L10" s="28">
        <f>'Thang_09'!L10+D10</f>
        <v/>
      </c>
      <c r="M10" s="29">
        <f>IF(L10&gt;0, N10/L10, 0)</f>
        <v/>
      </c>
      <c r="N10" s="28">
        <f>'Thang_09'!N10+F10</f>
        <v/>
      </c>
      <c r="O10" s="28">
        <f>'Thang_09'!O10+G10</f>
        <v/>
      </c>
      <c r="P10" s="28">
        <f>'Thang_09'!P10+H10</f>
        <v/>
      </c>
      <c r="Q10" s="28">
        <f>'Thang_09'!Q10+I10-J10</f>
        <v/>
      </c>
      <c r="R10" s="28">
        <f>'Thang_09'!R10+K10</f>
        <v/>
      </c>
    </row>
    <row r="11" ht="20" customHeight="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/>
      <c r="E11" s="29">
        <f>IF(D11&gt;0, F11/D11, 0)</f>
        <v/>
      </c>
      <c r="F11" s="28" t="n"/>
      <c r="G11" s="28" t="n"/>
      <c r="H11" s="28" t="n"/>
      <c r="I11" s="28" t="n"/>
      <c r="J11" s="28" t="n"/>
      <c r="K11" s="28">
        <f>F11+G11-H11+I11-J11</f>
        <v/>
      </c>
      <c r="L11" s="28">
        <f>'Thang_09'!L11+D11</f>
        <v/>
      </c>
      <c r="M11" s="29">
        <f>IF(L11&gt;0, N11/L11, 0)</f>
        <v/>
      </c>
      <c r="N11" s="28">
        <f>'Thang_09'!N11+F11</f>
        <v/>
      </c>
      <c r="O11" s="28">
        <f>'Thang_09'!O11+G11</f>
        <v/>
      </c>
      <c r="P11" s="28">
        <f>'Thang_09'!P11+H11</f>
        <v/>
      </c>
      <c r="Q11" s="28">
        <f>'Thang_09'!Q11+I11-J11</f>
        <v/>
      </c>
      <c r="R11" s="28">
        <f>'Thang_09'!R11+K11</f>
        <v/>
      </c>
    </row>
    <row r="12" ht="20" customHeight="1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/>
      <c r="E12" s="29">
        <f>IF(D12&gt;0, F12/D12, 0)</f>
        <v/>
      </c>
      <c r="F12" s="28" t="n"/>
      <c r="G12" s="28" t="n"/>
      <c r="H12" s="28" t="n"/>
      <c r="I12" s="28" t="n"/>
      <c r="J12" s="28" t="n"/>
      <c r="K12" s="28">
        <f>F12+G12-H12+I12-J12</f>
        <v/>
      </c>
      <c r="L12" s="28">
        <f>'Thang_09'!L12+D12</f>
        <v/>
      </c>
      <c r="M12" s="29">
        <f>IF(L12&gt;0, N12/L12, 0)</f>
        <v/>
      </c>
      <c r="N12" s="28">
        <f>'Thang_09'!N12+F12</f>
        <v/>
      </c>
      <c r="O12" s="28">
        <f>'Thang_09'!O12+G12</f>
        <v/>
      </c>
      <c r="P12" s="28">
        <f>'Thang_09'!P12+H12</f>
        <v/>
      </c>
      <c r="Q12" s="28">
        <f>'Thang_09'!Q12+I12-J12</f>
        <v/>
      </c>
      <c r="R12" s="28">
        <f>'Thang_09'!R12+K12</f>
        <v/>
      </c>
    </row>
    <row r="13" ht="20" customHeight="1">
      <c r="A13" s="20" t="inlineStr">
        <is>
          <t>b</t>
        </is>
      </c>
      <c r="B13" s="21" t="inlineStr">
        <is>
          <t xml:space="preserve">  Kinh doanh tổng hợp</t>
        </is>
      </c>
      <c r="C13" s="22" t="inlineStr"/>
      <c r="D13" s="23" t="n"/>
      <c r="E13" s="24">
        <f>IF(D13&gt;0, F13/D13, 0)</f>
        <v/>
      </c>
      <c r="F13" s="23" t="n"/>
      <c r="G13" s="23" t="n"/>
      <c r="H13" s="23" t="n"/>
      <c r="I13" s="23" t="n"/>
      <c r="J13" s="23" t="n"/>
      <c r="K13" s="23">
        <f>F13+G13-H13+I13-J13</f>
        <v/>
      </c>
      <c r="L13" s="23">
        <f>'Thang_09'!L13+D13</f>
        <v/>
      </c>
      <c r="M13" s="24">
        <f>IF(L13&gt;0, N13/L13, 0)</f>
        <v/>
      </c>
      <c r="N13" s="23">
        <f>'Thang_09'!N13+F13</f>
        <v/>
      </c>
      <c r="O13" s="23">
        <f>'Thang_09'!O13+G13</f>
        <v/>
      </c>
      <c r="P13" s="23">
        <f>'Thang_09'!P13+H13</f>
        <v/>
      </c>
      <c r="Q13" s="23">
        <f>'Thang_09'!Q13+I13-J13</f>
        <v/>
      </c>
      <c r="R13" s="23">
        <f>'Thang_09'!R13+K13</f>
        <v/>
      </c>
    </row>
    <row r="14" ht="20" customHeight="1">
      <c r="A14" s="20" t="inlineStr">
        <is>
          <t>c</t>
        </is>
      </c>
      <c r="B14" s="21" t="inlineStr">
        <is>
          <t xml:space="preserve">  Kinh doanh bán buôn</t>
        </is>
      </c>
      <c r="C14" s="22" t="inlineStr"/>
      <c r="D14" s="23" t="n"/>
      <c r="E14" s="24">
        <f>IF(D14&gt;0, F14/D14, 0)</f>
        <v/>
      </c>
      <c r="F14" s="23" t="n"/>
      <c r="G14" s="23" t="n"/>
      <c r="H14" s="23" t="n"/>
      <c r="I14" s="23" t="n"/>
      <c r="J14" s="23" t="n"/>
      <c r="K14" s="23">
        <f>F14+G14-H14+I14-J14</f>
        <v/>
      </c>
      <c r="L14" s="23">
        <f>'Thang_09'!L14+D14</f>
        <v/>
      </c>
      <c r="M14" s="24">
        <f>IF(L14&gt;0, N14/L14, 0)</f>
        <v/>
      </c>
      <c r="N14" s="23">
        <f>'Thang_09'!N14+F14</f>
        <v/>
      </c>
      <c r="O14" s="23">
        <f>'Thang_09'!O14+G14</f>
        <v/>
      </c>
      <c r="P14" s="23">
        <f>'Thang_09'!P14+H14</f>
        <v/>
      </c>
      <c r="Q14" s="23">
        <f>'Thang_09'!Q14+I14-J14</f>
        <v/>
      </c>
      <c r="R14" s="23">
        <f>'Thang_09'!R14+K14</f>
        <v/>
      </c>
    </row>
    <row r="15" ht="20" customHeight="1">
      <c r="A15" s="20" t="inlineStr">
        <is>
          <t>d</t>
        </is>
      </c>
      <c r="B15" s="21" t="inlineStr">
        <is>
          <t xml:space="preserve">  Dự án</t>
        </is>
      </c>
      <c r="C15" s="22" t="inlineStr"/>
      <c r="D15" s="23" t="n"/>
      <c r="E15" s="24">
        <f>IF(D15&gt;0, F15/D15, 0)</f>
        <v/>
      </c>
      <c r="F15" s="23" t="n"/>
      <c r="G15" s="23" t="n"/>
      <c r="H15" s="23" t="n"/>
      <c r="I15" s="23" t="n"/>
      <c r="J15" s="23" t="n"/>
      <c r="K15" s="23">
        <f>F15+G15-H15+I15-J15</f>
        <v/>
      </c>
      <c r="L15" s="23">
        <f>'Thang_09'!L15+D15</f>
        <v/>
      </c>
      <c r="M15" s="24">
        <f>IF(L15&gt;0, N15/L15, 0)</f>
        <v/>
      </c>
      <c r="N15" s="23">
        <f>'Thang_09'!N15+F15</f>
        <v/>
      </c>
      <c r="O15" s="23">
        <f>'Thang_09'!O15+G15</f>
        <v/>
      </c>
      <c r="P15" s="23">
        <f>'Thang_09'!P15+H15</f>
        <v/>
      </c>
      <c r="Q15" s="23">
        <f>'Thang_09'!Q15+I15-J15</f>
        <v/>
      </c>
      <c r="R15" s="23">
        <f>'Thang_09'!R15+K15</f>
        <v/>
      </c>
    </row>
    <row r="16" ht="20" customHeight="1">
      <c r="A16" s="15" t="inlineStr">
        <is>
          <t>2</t>
        </is>
      </c>
      <c r="B16" s="16" t="inlineStr">
        <is>
          <t>Việt</t>
        </is>
      </c>
      <c r="C16" s="17" t="n">
        <v>10000</v>
      </c>
      <c r="D16" s="18" t="n"/>
      <c r="E16" s="19">
        <f>IF(D16&gt;0, F16/D16, 0)</f>
        <v/>
      </c>
      <c r="F16" s="18" t="n"/>
      <c r="G16" s="18" t="n"/>
      <c r="H16" s="18" t="n"/>
      <c r="I16" s="18" t="n"/>
      <c r="J16" s="18" t="n"/>
      <c r="K16" s="18">
        <f>F16+G16-H16+I16-J16</f>
        <v/>
      </c>
      <c r="L16" s="18">
        <f>'Thang_09'!L16+D16</f>
        <v/>
      </c>
      <c r="M16" s="19">
        <f>IF(L16&gt;0, N16/L16, 0)</f>
        <v/>
      </c>
      <c r="N16" s="18">
        <f>'Thang_09'!N16+F16</f>
        <v/>
      </c>
      <c r="O16" s="18">
        <f>'Thang_09'!O16+G16</f>
        <v/>
      </c>
      <c r="P16" s="18">
        <f>'Thang_09'!P16+H16</f>
        <v/>
      </c>
      <c r="Q16" s="18">
        <f>'Thang_09'!Q16+I16-J16</f>
        <v/>
      </c>
      <c r="R16" s="18">
        <f>'Thang_09'!R16+K16</f>
        <v/>
      </c>
    </row>
    <row r="17" ht="20" customHeight="1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/>
      <c r="E17" s="29">
        <f>IF(D17&gt;0, F17/D17, 0)</f>
        <v/>
      </c>
      <c r="F17" s="28" t="n"/>
      <c r="G17" s="28" t="n"/>
      <c r="H17" s="28" t="n"/>
      <c r="I17" s="28" t="n"/>
      <c r="J17" s="28" t="n"/>
      <c r="K17" s="28">
        <f>F17+G17-H17+I17-J17</f>
        <v/>
      </c>
      <c r="L17" s="28">
        <f>'Thang_09'!L17+D17</f>
        <v/>
      </c>
      <c r="M17" s="29">
        <f>IF(L17&gt;0, N17/L17, 0)</f>
        <v/>
      </c>
      <c r="N17" s="28">
        <f>'Thang_09'!N17+F17</f>
        <v/>
      </c>
      <c r="O17" s="28">
        <f>'Thang_09'!O17+G17</f>
        <v/>
      </c>
      <c r="P17" s="28">
        <f>'Thang_09'!P17+H17</f>
        <v/>
      </c>
      <c r="Q17" s="28">
        <f>'Thang_09'!Q17+I17-J17</f>
        <v/>
      </c>
      <c r="R17" s="28">
        <f>'Thang_09'!R17+K17</f>
        <v/>
      </c>
    </row>
    <row r="18" ht="20" customHeight="1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/>
      <c r="E18" s="29">
        <f>IF(D18&gt;0, F18/D18, 0)</f>
        <v/>
      </c>
      <c r="F18" s="28" t="n"/>
      <c r="G18" s="28" t="n"/>
      <c r="H18" s="28" t="n"/>
      <c r="I18" s="28" t="n"/>
      <c r="J18" s="28" t="n"/>
      <c r="K18" s="28">
        <f>F18+G18-H18+I18-J18</f>
        <v/>
      </c>
      <c r="L18" s="28">
        <f>'Thang_09'!L18+D18</f>
        <v/>
      </c>
      <c r="M18" s="29">
        <f>IF(L18&gt;0, N18/L18, 0)</f>
        <v/>
      </c>
      <c r="N18" s="28">
        <f>'Thang_09'!N18+F18</f>
        <v/>
      </c>
      <c r="O18" s="28">
        <f>'Thang_09'!O18+G18</f>
        <v/>
      </c>
      <c r="P18" s="28">
        <f>'Thang_09'!P18+H18</f>
        <v/>
      </c>
      <c r="Q18" s="28">
        <f>'Thang_09'!Q18+I18-J18</f>
        <v/>
      </c>
      <c r="R18" s="28">
        <f>'Thang_09'!R18+K18</f>
        <v/>
      </c>
    </row>
    <row r="19" ht="20" customHeight="1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/>
      <c r="E19" s="29">
        <f>IF(D19&gt;0, F19/D19, 0)</f>
        <v/>
      </c>
      <c r="F19" s="28" t="n"/>
      <c r="G19" s="28" t="n"/>
      <c r="H19" s="28" t="n"/>
      <c r="I19" s="28" t="n"/>
      <c r="J19" s="28" t="n"/>
      <c r="K19" s="28">
        <f>F19+G19-H19+I19-J19</f>
        <v/>
      </c>
      <c r="L19" s="28">
        <f>'Thang_09'!L19+D19</f>
        <v/>
      </c>
      <c r="M19" s="29">
        <f>IF(L19&gt;0, N19/L19, 0)</f>
        <v/>
      </c>
      <c r="N19" s="28">
        <f>'Thang_09'!N19+F19</f>
        <v/>
      </c>
      <c r="O19" s="28">
        <f>'Thang_09'!O19+G19</f>
        <v/>
      </c>
      <c r="P19" s="28">
        <f>'Thang_09'!P19+H19</f>
        <v/>
      </c>
      <c r="Q19" s="28">
        <f>'Thang_09'!Q19+I19-J19</f>
        <v/>
      </c>
      <c r="R19" s="28">
        <f>'Thang_09'!R19+K19</f>
        <v/>
      </c>
    </row>
    <row r="20" ht="20" customHeight="1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/>
      <c r="E20" s="29">
        <f>IF(D20&gt;0, F20/D20, 0)</f>
        <v/>
      </c>
      <c r="F20" s="28" t="n"/>
      <c r="G20" s="28" t="n"/>
      <c r="H20" s="28" t="n"/>
      <c r="I20" s="28" t="n"/>
      <c r="J20" s="28" t="n"/>
      <c r="K20" s="28">
        <f>F20+G20-H20+I20-J20</f>
        <v/>
      </c>
      <c r="L20" s="28">
        <f>'Thang_09'!L20+D20</f>
        <v/>
      </c>
      <c r="M20" s="29">
        <f>IF(L20&gt;0, N20/L20, 0)</f>
        <v/>
      </c>
      <c r="N20" s="28">
        <f>'Thang_09'!N20+F20</f>
        <v/>
      </c>
      <c r="O20" s="28">
        <f>'Thang_09'!O20+G20</f>
        <v/>
      </c>
      <c r="P20" s="28">
        <f>'Thang_09'!P20+H20</f>
        <v/>
      </c>
      <c r="Q20" s="28">
        <f>'Thang_09'!Q20+I20-J20</f>
        <v/>
      </c>
      <c r="R20" s="28">
        <f>'Thang_09'!R20+K20</f>
        <v/>
      </c>
    </row>
    <row r="21" ht="20" customHeight="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/>
      <c r="E21" s="29">
        <f>IF(D21&gt;0, F21/D21, 0)</f>
        <v/>
      </c>
      <c r="F21" s="28" t="n"/>
      <c r="G21" s="28" t="n"/>
      <c r="H21" s="28" t="n"/>
      <c r="I21" s="28" t="n"/>
      <c r="J21" s="28" t="n"/>
      <c r="K21" s="28">
        <f>F21+G21-H21+I21-J21</f>
        <v/>
      </c>
      <c r="L21" s="28">
        <f>'Thang_09'!L21+D21</f>
        <v/>
      </c>
      <c r="M21" s="29">
        <f>IF(L21&gt;0, N21/L21, 0)</f>
        <v/>
      </c>
      <c r="N21" s="28">
        <f>'Thang_09'!N21+F21</f>
        <v/>
      </c>
      <c r="O21" s="28">
        <f>'Thang_09'!O21+G21</f>
        <v/>
      </c>
      <c r="P21" s="28">
        <f>'Thang_09'!P21+H21</f>
        <v/>
      </c>
      <c r="Q21" s="28">
        <f>'Thang_09'!Q21+I21-J21</f>
        <v/>
      </c>
      <c r="R21" s="28">
        <f>'Thang_09'!R21+K21</f>
        <v/>
      </c>
    </row>
    <row r="22" ht="20" customHeight="1">
      <c r="A22" s="15" t="inlineStr">
        <is>
          <t>3</t>
        </is>
      </c>
      <c r="B22" s="16" t="inlineStr">
        <is>
          <t>ITSS</t>
        </is>
      </c>
      <c r="C22" s="17" t="n">
        <v>5000</v>
      </c>
      <c r="D22" s="18" t="n"/>
      <c r="E22" s="19">
        <f>IF(D22&gt;0, F22/D22, 0)</f>
        <v/>
      </c>
      <c r="F22" s="18" t="n"/>
      <c r="G22" s="18" t="n"/>
      <c r="H22" s="18" t="n"/>
      <c r="I22" s="18" t="n"/>
      <c r="J22" s="18" t="n"/>
      <c r="K22" s="18">
        <f>F22+G22-H22+I22-J22</f>
        <v/>
      </c>
      <c r="L22" s="18">
        <f>'Thang_09'!L22+D22</f>
        <v/>
      </c>
      <c r="M22" s="19">
        <f>IF(L22&gt;0, N22/L22, 0)</f>
        <v/>
      </c>
      <c r="N22" s="18">
        <f>'Thang_09'!N22+F22</f>
        <v/>
      </c>
      <c r="O22" s="18">
        <f>'Thang_09'!O22+G22</f>
        <v/>
      </c>
      <c r="P22" s="18">
        <f>'Thang_09'!P22+H22</f>
        <v/>
      </c>
      <c r="Q22" s="18">
        <f>'Thang_09'!Q22+I22-J22</f>
        <v/>
      </c>
      <c r="R22" s="18">
        <f>'Thang_09'!R22+K22</f>
        <v/>
      </c>
    </row>
    <row r="23" ht="20" customHeight="1">
      <c r="A23" s="15" t="inlineStr">
        <is>
          <t>4</t>
        </is>
      </c>
      <c r="B23" s="16" t="inlineStr">
        <is>
          <t>CTY VPS</t>
        </is>
      </c>
      <c r="C23" s="17" t="n">
        <v>10000</v>
      </c>
      <c r="D23" s="18" t="n"/>
      <c r="E23" s="19">
        <f>IF(D23&gt;0, F23/D23, 0)</f>
        <v/>
      </c>
      <c r="F23" s="18" t="n"/>
      <c r="G23" s="18" t="n"/>
      <c r="H23" s="18" t="n"/>
      <c r="I23" s="18" t="n"/>
      <c r="J23" s="18" t="n"/>
      <c r="K23" s="18">
        <f>F23+G23-H23+I23-J23</f>
        <v/>
      </c>
      <c r="L23" s="18">
        <f>'Thang_09'!L23+D23</f>
        <v/>
      </c>
      <c r="M23" s="19">
        <f>IF(L23&gt;0, N23/L23, 0)</f>
        <v/>
      </c>
      <c r="N23" s="18">
        <f>'Thang_09'!N23+F23</f>
        <v/>
      </c>
      <c r="O23" s="18">
        <f>'Thang_09'!O23+G23</f>
        <v/>
      </c>
      <c r="P23" s="18">
        <f>'Thang_09'!P23+H23</f>
        <v/>
      </c>
      <c r="Q23" s="18">
        <f>'Thang_09'!Q23+I23-J23</f>
        <v/>
      </c>
      <c r="R23" s="18">
        <f>'Thang_09'!R23+K23</f>
        <v/>
      </c>
    </row>
    <row r="24" ht="20" customHeight="1">
      <c r="A24" s="20" t="inlineStr">
        <is>
          <t>4.1</t>
        </is>
      </c>
      <c r="B24" s="21" t="inlineStr">
        <is>
          <t xml:space="preserve">  VP VPS - hoạt động KD</t>
        </is>
      </c>
      <c r="C24" s="22" t="inlineStr"/>
      <c r="D24" s="23" t="n"/>
      <c r="E24" s="24">
        <f>IF(D24&gt;0, F24/D24, 0)</f>
        <v/>
      </c>
      <c r="F24" s="23" t="n"/>
      <c r="G24" s="23" t="n"/>
      <c r="H24" s="23" t="n"/>
      <c r="I24" s="23" t="n"/>
      <c r="J24" s="23" t="n"/>
      <c r="K24" s="23">
        <f>F24+G24-H24+I24-J24</f>
        <v/>
      </c>
      <c r="L24" s="23">
        <f>'Thang_09'!L24+D24</f>
        <v/>
      </c>
      <c r="M24" s="24">
        <f>IF(L24&gt;0, N24/L24, 0)</f>
        <v/>
      </c>
      <c r="N24" s="23">
        <f>'Thang_09'!N24+F24</f>
        <v/>
      </c>
      <c r="O24" s="23">
        <f>'Thang_09'!O24+G24</f>
        <v/>
      </c>
      <c r="P24" s="23">
        <f>'Thang_09'!P24+H24</f>
        <v/>
      </c>
      <c r="Q24" s="23">
        <f>'Thang_09'!Q24+I24-J24</f>
        <v/>
      </c>
      <c r="R24" s="23">
        <f>'Thang_09'!R24+K24</f>
        <v/>
      </c>
    </row>
    <row r="25" ht="20" customHeight="1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/>
      <c r="E25" s="29">
        <f>IF(D25&gt;0, F25/D25, 0)</f>
        <v/>
      </c>
      <c r="F25" s="28" t="n"/>
      <c r="G25" s="28" t="n"/>
      <c r="H25" s="28" t="n"/>
      <c r="I25" s="28" t="n"/>
      <c r="J25" s="28" t="n"/>
      <c r="K25" s="28">
        <f>F25+G25-H25+I25-J25</f>
        <v/>
      </c>
      <c r="L25" s="28">
        <f>'Thang_09'!L25+D25</f>
        <v/>
      </c>
      <c r="M25" s="29">
        <f>IF(L25&gt;0, N25/L25, 0)</f>
        <v/>
      </c>
      <c r="N25" s="28">
        <f>'Thang_09'!N25+F25</f>
        <v/>
      </c>
      <c r="O25" s="28">
        <f>'Thang_09'!O25+G25</f>
        <v/>
      </c>
      <c r="P25" s="28">
        <f>'Thang_09'!P25+H25</f>
        <v/>
      </c>
      <c r="Q25" s="28">
        <f>'Thang_09'!Q25+I25-J25</f>
        <v/>
      </c>
      <c r="R25" s="28">
        <f>'Thang_09'!R25+K25</f>
        <v/>
      </c>
    </row>
    <row r="26" ht="20" customHeight="1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/>
      <c r="E26" s="29">
        <f>IF(D26&gt;0, F26/D26, 0)</f>
        <v/>
      </c>
      <c r="F26" s="28" t="n"/>
      <c r="G26" s="28" t="n"/>
      <c r="H26" s="28" t="n"/>
      <c r="I26" s="28" t="n"/>
      <c r="J26" s="28" t="n"/>
      <c r="K26" s="28">
        <f>F26+G26-H26+I26-J26</f>
        <v/>
      </c>
      <c r="L26" s="28">
        <f>'Thang_09'!L26+D26</f>
        <v/>
      </c>
      <c r="M26" s="29">
        <f>IF(L26&gt;0, N26/L26, 0)</f>
        <v/>
      </c>
      <c r="N26" s="28">
        <f>'Thang_09'!N26+F26</f>
        <v/>
      </c>
      <c r="O26" s="28">
        <f>'Thang_09'!O26+G26</f>
        <v/>
      </c>
      <c r="P26" s="28">
        <f>'Thang_09'!P26+H26</f>
        <v/>
      </c>
      <c r="Q26" s="28">
        <f>'Thang_09'!Q26+I26-J26</f>
        <v/>
      </c>
      <c r="R26" s="28">
        <f>'Thang_09'!R26+K26</f>
        <v/>
      </c>
    </row>
    <row r="27" ht="20" customHeight="1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/>
      <c r="E27" s="29">
        <f>IF(D27&gt;0, F27/D27, 0)</f>
        <v/>
      </c>
      <c r="F27" s="28" t="n"/>
      <c r="G27" s="28" t="n"/>
      <c r="H27" s="28" t="n"/>
      <c r="I27" s="28" t="n"/>
      <c r="J27" s="28" t="n"/>
      <c r="K27" s="28">
        <f>F27+G27-H27+I27-J27</f>
        <v/>
      </c>
      <c r="L27" s="28">
        <f>'Thang_09'!L27+D27</f>
        <v/>
      </c>
      <c r="M27" s="29">
        <f>IF(L27&gt;0, N27/L27, 0)</f>
        <v/>
      </c>
      <c r="N27" s="28">
        <f>'Thang_09'!N27+F27</f>
        <v/>
      </c>
      <c r="O27" s="28">
        <f>'Thang_09'!O27+G27</f>
        <v/>
      </c>
      <c r="P27" s="28">
        <f>'Thang_09'!P27+H27</f>
        <v/>
      </c>
      <c r="Q27" s="28">
        <f>'Thang_09'!Q27+I27-J27</f>
        <v/>
      </c>
      <c r="R27" s="28">
        <f>'Thang_09'!R27+K27</f>
        <v/>
      </c>
    </row>
    <row r="28" ht="20" customHeight="1">
      <c r="A28" s="20" t="inlineStr">
        <is>
          <t>4.2</t>
        </is>
      </c>
      <c r="B28" s="21" t="inlineStr">
        <is>
          <t xml:space="preserve">  HĐ đầu tư Tài chính</t>
        </is>
      </c>
      <c r="C28" s="22" t="inlineStr"/>
      <c r="D28" s="23" t="n"/>
      <c r="E28" s="24">
        <f>IF(D28&gt;0, F28/D28, 0)</f>
        <v/>
      </c>
      <c r="F28" s="23" t="n"/>
      <c r="G28" s="23" t="n"/>
      <c r="H28" s="23" t="n"/>
      <c r="I28" s="23" t="n"/>
      <c r="J28" s="23" t="n"/>
      <c r="K28" s="23">
        <f>F28+G28-H28+I28-J28</f>
        <v/>
      </c>
      <c r="L28" s="23">
        <f>'Thang_09'!L28+D28</f>
        <v/>
      </c>
      <c r="M28" s="24">
        <f>IF(L28&gt;0, N28/L28, 0)</f>
        <v/>
      </c>
      <c r="N28" s="23">
        <f>'Thang_09'!N28+F28</f>
        <v/>
      </c>
      <c r="O28" s="23">
        <f>'Thang_09'!O28+G28</f>
        <v/>
      </c>
      <c r="P28" s="23">
        <f>'Thang_09'!P28+H28</f>
        <v/>
      </c>
      <c r="Q28" s="23">
        <f>'Thang_09'!Q28+I28-J28</f>
        <v/>
      </c>
      <c r="R28" s="23">
        <f>'Thang_09'!R28+K28</f>
        <v/>
      </c>
    </row>
    <row r="29" ht="20" customHeight="1">
      <c r="A29" s="15" t="inlineStr">
        <is>
          <t>5</t>
        </is>
      </c>
      <c r="B29" s="16" t="inlineStr">
        <is>
          <t>XESCO (Xem Sơn)</t>
        </is>
      </c>
      <c r="C29" s="17" t="n">
        <v>15000</v>
      </c>
      <c r="D29" s="18" t="n"/>
      <c r="E29" s="19">
        <f>IF(D29&gt;0, F29/D29, 0)</f>
        <v/>
      </c>
      <c r="F29" s="18" t="n"/>
      <c r="G29" s="18" t="n"/>
      <c r="H29" s="18" t="n"/>
      <c r="I29" s="18" t="n"/>
      <c r="J29" s="18" t="n"/>
      <c r="K29" s="18">
        <f>F29+G29-H29+I29-J29</f>
        <v/>
      </c>
      <c r="L29" s="18">
        <f>'Thang_09'!L29+D29</f>
        <v/>
      </c>
      <c r="M29" s="19">
        <f>IF(L29&gt;0, N29/L29, 0)</f>
        <v/>
      </c>
      <c r="N29" s="18">
        <f>'Thang_09'!N29+F29</f>
        <v/>
      </c>
      <c r="O29" s="18">
        <f>'Thang_09'!O29+G29</f>
        <v/>
      </c>
      <c r="P29" s="18">
        <f>'Thang_09'!P29+H29</f>
        <v/>
      </c>
      <c r="Q29" s="18">
        <f>'Thang_09'!Q29+I29-J29</f>
        <v/>
      </c>
      <c r="R29" s="18">
        <f>'Thang_09'!R29+K29</f>
        <v/>
      </c>
    </row>
    <row r="30" ht="20" customHeight="1">
      <c r="A30" s="20" t="inlineStr">
        <is>
          <t>5.1</t>
        </is>
      </c>
      <c r="B30" s="21" t="inlineStr">
        <is>
          <t xml:space="preserve">  Xesco - KT</t>
        </is>
      </c>
      <c r="C30" s="22" t="inlineStr"/>
      <c r="D30" s="23" t="n"/>
      <c r="E30" s="24">
        <f>IF(D30&gt;0, F30/D30, 0)</f>
        <v/>
      </c>
      <c r="F30" s="23" t="n"/>
      <c r="G30" s="23" t="n"/>
      <c r="H30" s="23" t="n"/>
      <c r="I30" s="23" t="n"/>
      <c r="J30" s="23" t="n"/>
      <c r="K30" s="23">
        <f>F30+G30-H30+I30-J30</f>
        <v/>
      </c>
      <c r="L30" s="23">
        <f>'Thang_09'!L30+D30</f>
        <v/>
      </c>
      <c r="M30" s="24">
        <f>IF(L30&gt;0, N30/L30, 0)</f>
        <v/>
      </c>
      <c r="N30" s="23">
        <f>'Thang_09'!N30+F30</f>
        <v/>
      </c>
      <c r="O30" s="23">
        <f>'Thang_09'!O30+G30</f>
        <v/>
      </c>
      <c r="P30" s="23">
        <f>'Thang_09'!P30+H30</f>
        <v/>
      </c>
      <c r="Q30" s="23">
        <f>'Thang_09'!Q30+I30-J30</f>
        <v/>
      </c>
      <c r="R30" s="23">
        <f>'Thang_09'!R30+K30</f>
        <v/>
      </c>
    </row>
    <row r="31" ht="20" customHeight="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/>
      <c r="E31" s="29">
        <f>IF(D31&gt;0, F31/D31, 0)</f>
        <v/>
      </c>
      <c r="F31" s="28" t="n"/>
      <c r="G31" s="28" t="n"/>
      <c r="H31" s="28" t="n"/>
      <c r="I31" s="28" t="n"/>
      <c r="J31" s="28" t="n"/>
      <c r="K31" s="28">
        <f>F31+G31-H31+I31-J31</f>
        <v/>
      </c>
      <c r="L31" s="28">
        <f>'Thang_09'!L31+D31</f>
        <v/>
      </c>
      <c r="M31" s="29">
        <f>IF(L31&gt;0, N31/L31, 0)</f>
        <v/>
      </c>
      <c r="N31" s="28">
        <f>'Thang_09'!N31+F31</f>
        <v/>
      </c>
      <c r="O31" s="28">
        <f>'Thang_09'!O31+G31</f>
        <v/>
      </c>
      <c r="P31" s="28">
        <f>'Thang_09'!P31+H31</f>
        <v/>
      </c>
      <c r="Q31" s="28">
        <f>'Thang_09'!Q31+I31-J31</f>
        <v/>
      </c>
      <c r="R31" s="28">
        <f>'Thang_09'!R31+K31</f>
        <v/>
      </c>
    </row>
    <row r="32" ht="20" customHeight="1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/>
      <c r="E32" s="29">
        <f>IF(D32&gt;0, F32/D32, 0)</f>
        <v/>
      </c>
      <c r="F32" s="28" t="n"/>
      <c r="G32" s="28" t="n"/>
      <c r="H32" s="28" t="n"/>
      <c r="I32" s="28" t="n"/>
      <c r="J32" s="28" t="n"/>
      <c r="K32" s="28">
        <f>F32+G32-H32+I32-J32</f>
        <v/>
      </c>
      <c r="L32" s="28">
        <f>'Thang_09'!L32+D32</f>
        <v/>
      </c>
      <c r="M32" s="29">
        <f>IF(L32&gt;0, N32/L32, 0)</f>
        <v/>
      </c>
      <c r="N32" s="28">
        <f>'Thang_09'!N32+F32</f>
        <v/>
      </c>
      <c r="O32" s="28">
        <f>'Thang_09'!O32+G32</f>
        <v/>
      </c>
      <c r="P32" s="28">
        <f>'Thang_09'!P32+H32</f>
        <v/>
      </c>
      <c r="Q32" s="28">
        <f>'Thang_09'!Q32+I32-J32</f>
        <v/>
      </c>
      <c r="R32" s="28">
        <f>'Thang_09'!R32+K32</f>
        <v/>
      </c>
    </row>
    <row r="33" ht="20" customHeight="1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/>
      <c r="E33" s="29">
        <f>IF(D33&gt;0, F33/D33, 0)</f>
        <v/>
      </c>
      <c r="F33" s="28" t="n"/>
      <c r="G33" s="28" t="n"/>
      <c r="H33" s="28" t="n"/>
      <c r="I33" s="28" t="n"/>
      <c r="J33" s="28" t="n"/>
      <c r="K33" s="28">
        <f>F33+G33-H33+I33-J33</f>
        <v/>
      </c>
      <c r="L33" s="28">
        <f>'Thang_09'!L33+D33</f>
        <v/>
      </c>
      <c r="M33" s="29">
        <f>IF(L33&gt;0, N33/L33, 0)</f>
        <v/>
      </c>
      <c r="N33" s="28">
        <f>'Thang_09'!N33+F33</f>
        <v/>
      </c>
      <c r="O33" s="28">
        <f>'Thang_09'!O33+G33</f>
        <v/>
      </c>
      <c r="P33" s="28">
        <f>'Thang_09'!P33+H33</f>
        <v/>
      </c>
      <c r="Q33" s="28">
        <f>'Thang_09'!Q33+I33-J33</f>
        <v/>
      </c>
      <c r="R33" s="28">
        <f>'Thang_09'!R33+K33</f>
        <v/>
      </c>
    </row>
    <row r="34" ht="20" customHeight="1">
      <c r="A34" s="20" t="inlineStr">
        <is>
          <t>5.2</t>
        </is>
      </c>
      <c r="B34" s="21" t="inlineStr">
        <is>
          <t xml:space="preserve">  Xesco - KD</t>
        </is>
      </c>
      <c r="C34" s="22" t="inlineStr"/>
      <c r="D34" s="23" t="n"/>
      <c r="E34" s="24">
        <f>IF(D34&gt;0, F34/D34, 0)</f>
        <v/>
      </c>
      <c r="F34" s="23" t="n"/>
      <c r="G34" s="23" t="n"/>
      <c r="H34" s="23" t="n"/>
      <c r="I34" s="23" t="n"/>
      <c r="J34" s="23" t="n"/>
      <c r="K34" s="23">
        <f>F34+G34-H34+I34-J34</f>
        <v/>
      </c>
      <c r="L34" s="23">
        <f>'Thang_09'!L34+D34</f>
        <v/>
      </c>
      <c r="M34" s="24">
        <f>IF(L34&gt;0, N34/L34, 0)</f>
        <v/>
      </c>
      <c r="N34" s="23">
        <f>'Thang_09'!N34+F34</f>
        <v/>
      </c>
      <c r="O34" s="23">
        <f>'Thang_09'!O34+G34</f>
        <v/>
      </c>
      <c r="P34" s="23">
        <f>'Thang_09'!P34+H34</f>
        <v/>
      </c>
      <c r="Q34" s="23">
        <f>'Thang_09'!Q34+I34-J34</f>
        <v/>
      </c>
      <c r="R34" s="23">
        <f>'Thang_09'!R34+K34</f>
        <v/>
      </c>
    </row>
    <row r="35" ht="20" customHeight="1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/>
      <c r="E35" s="29">
        <f>IF(D35&gt;0, F35/D35, 0)</f>
        <v/>
      </c>
      <c r="F35" s="28" t="n"/>
      <c r="G35" s="28" t="n"/>
      <c r="H35" s="28" t="n"/>
      <c r="I35" s="28" t="n"/>
      <c r="J35" s="28" t="n"/>
      <c r="K35" s="28">
        <f>F35+G35-H35+I35-J35</f>
        <v/>
      </c>
      <c r="L35" s="28">
        <f>'Thang_09'!L35+D35</f>
        <v/>
      </c>
      <c r="M35" s="29">
        <f>IF(L35&gt;0, N35/L35, 0)</f>
        <v/>
      </c>
      <c r="N35" s="28">
        <f>'Thang_09'!N35+F35</f>
        <v/>
      </c>
      <c r="O35" s="28">
        <f>'Thang_09'!O35+G35</f>
        <v/>
      </c>
      <c r="P35" s="28">
        <f>'Thang_09'!P35+H35</f>
        <v/>
      </c>
      <c r="Q35" s="28">
        <f>'Thang_09'!Q35+I35-J35</f>
        <v/>
      </c>
      <c r="R35" s="28">
        <f>'Thang_09'!R35+K35</f>
        <v/>
      </c>
    </row>
    <row r="36" ht="20" customHeight="1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/>
      <c r="E36" s="29">
        <f>IF(D36&gt;0, F36/D36, 0)</f>
        <v/>
      </c>
      <c r="F36" s="28" t="n"/>
      <c r="G36" s="28" t="n"/>
      <c r="H36" s="28" t="n"/>
      <c r="I36" s="28" t="n"/>
      <c r="J36" s="28" t="n"/>
      <c r="K36" s="28">
        <f>F36+G36-H36+I36-J36</f>
        <v/>
      </c>
      <c r="L36" s="28">
        <f>'Thang_09'!L36+D36</f>
        <v/>
      </c>
      <c r="M36" s="29">
        <f>IF(L36&gt;0, N36/L36, 0)</f>
        <v/>
      </c>
      <c r="N36" s="28">
        <f>'Thang_09'!N36+F36</f>
        <v/>
      </c>
      <c r="O36" s="28">
        <f>'Thang_09'!O36+G36</f>
        <v/>
      </c>
      <c r="P36" s="28">
        <f>'Thang_09'!P36+H36</f>
        <v/>
      </c>
      <c r="Q36" s="28">
        <f>'Thang_09'!Q36+I36-J36</f>
        <v/>
      </c>
      <c r="R36" s="28">
        <f>'Thang_09'!R36+K36</f>
        <v/>
      </c>
    </row>
    <row r="37" ht="20" customHeight="1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/>
      <c r="E37" s="29">
        <f>IF(D37&gt;0, F37/D37, 0)</f>
        <v/>
      </c>
      <c r="F37" s="28" t="n"/>
      <c r="G37" s="28" t="n"/>
      <c r="H37" s="28" t="n"/>
      <c r="I37" s="28" t="n"/>
      <c r="J37" s="28" t="n"/>
      <c r="K37" s="28">
        <f>F37+G37-H37+I37-J37</f>
        <v/>
      </c>
      <c r="L37" s="28">
        <f>'Thang_09'!L37+D37</f>
        <v/>
      </c>
      <c r="M37" s="29">
        <f>IF(L37&gt;0, N37/L37, 0)</f>
        <v/>
      </c>
      <c r="N37" s="28">
        <f>'Thang_09'!N37+F37</f>
        <v/>
      </c>
      <c r="O37" s="28">
        <f>'Thang_09'!O37+G37</f>
        <v/>
      </c>
      <c r="P37" s="28">
        <f>'Thang_09'!P37+H37</f>
        <v/>
      </c>
      <c r="Q37" s="28">
        <f>'Thang_09'!Q37+I37-J37</f>
        <v/>
      </c>
      <c r="R37" s="28">
        <f>'Thang_09'!R37+K37</f>
        <v/>
      </c>
    </row>
    <row r="38" ht="20" customHeight="1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/>
      <c r="E38" s="29">
        <f>IF(D38&gt;0, F38/D38, 0)</f>
        <v/>
      </c>
      <c r="F38" s="28" t="n"/>
      <c r="G38" s="28" t="n"/>
      <c r="H38" s="28" t="n"/>
      <c r="I38" s="28" t="n"/>
      <c r="J38" s="28" t="n"/>
      <c r="K38" s="28">
        <f>F38+G38-H38+I38-J38</f>
        <v/>
      </c>
      <c r="L38" s="28">
        <f>'Thang_09'!L38+D38</f>
        <v/>
      </c>
      <c r="M38" s="29">
        <f>IF(L38&gt;0, N38/L38, 0)</f>
        <v/>
      </c>
      <c r="N38" s="28">
        <f>'Thang_09'!N38+F38</f>
        <v/>
      </c>
      <c r="O38" s="28">
        <f>'Thang_09'!O38+G38</f>
        <v/>
      </c>
      <c r="P38" s="28">
        <f>'Thang_09'!P38+H38</f>
        <v/>
      </c>
      <c r="Q38" s="28">
        <f>'Thang_09'!Q38+I38-J38</f>
        <v/>
      </c>
      <c r="R38" s="28">
        <f>'Thang_09'!R38+K38</f>
        <v/>
      </c>
    </row>
    <row r="39" ht="20" customHeight="1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/>
      <c r="E39" s="29">
        <f>IF(D39&gt;0, F39/D39, 0)</f>
        <v/>
      </c>
      <c r="F39" s="28" t="n"/>
      <c r="G39" s="28" t="n"/>
      <c r="H39" s="28" t="n"/>
      <c r="I39" s="28" t="n"/>
      <c r="J39" s="28" t="n"/>
      <c r="K39" s="28">
        <f>F39+G39-H39+I39-J39</f>
        <v/>
      </c>
      <c r="L39" s="28">
        <f>'Thang_09'!L39+D39</f>
        <v/>
      </c>
      <c r="M39" s="29">
        <f>IF(L39&gt;0, N39/L39, 0)</f>
        <v/>
      </c>
      <c r="N39" s="28">
        <f>'Thang_09'!N39+F39</f>
        <v/>
      </c>
      <c r="O39" s="28">
        <f>'Thang_09'!O39+G39</f>
        <v/>
      </c>
      <c r="P39" s="28">
        <f>'Thang_09'!P39+H39</f>
        <v/>
      </c>
      <c r="Q39" s="28">
        <f>'Thang_09'!Q39+I39-J39</f>
        <v/>
      </c>
      <c r="R39" s="28">
        <f>'Thang_09'!R39+K39</f>
        <v/>
      </c>
    </row>
    <row r="40" ht="20" customHeight="1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8" t="n"/>
      <c r="E40" s="29">
        <f>IF(D40&gt;0, F40/D40, 0)</f>
        <v/>
      </c>
      <c r="F40" s="28" t="n"/>
      <c r="G40" s="28" t="n"/>
      <c r="H40" s="28" t="n"/>
      <c r="I40" s="28" t="n"/>
      <c r="J40" s="28" t="n"/>
      <c r="K40" s="28">
        <f>F40+G40-H40+I40-J40</f>
        <v/>
      </c>
      <c r="L40" s="28">
        <f>'Thang_09'!L40+D40</f>
        <v/>
      </c>
      <c r="M40" s="29">
        <f>IF(L40&gt;0, N40/L40, 0)</f>
        <v/>
      </c>
      <c r="N40" s="28">
        <f>'Thang_09'!N40+F40</f>
        <v/>
      </c>
      <c r="O40" s="28">
        <f>'Thang_09'!O40+G40</f>
        <v/>
      </c>
      <c r="P40" s="28">
        <f>'Thang_09'!P40+H40</f>
        <v/>
      </c>
      <c r="Q40" s="28">
        <f>'Thang_09'!Q40+I40-J40</f>
        <v/>
      </c>
      <c r="R40" s="28">
        <f>'Thang_09'!R40+K40</f>
        <v/>
      </c>
    </row>
    <row r="41" ht="20" customHeight="1">
      <c r="A41" s="10" t="inlineStr">
        <is>
          <t>II</t>
        </is>
      </c>
      <c r="B41" s="11" t="inlineStr">
        <is>
          <t>VPS MIỀN TRUNG</t>
        </is>
      </c>
      <c r="C41" s="12" t="n">
        <v>3000</v>
      </c>
      <c r="D41" s="13" t="n"/>
      <c r="E41" s="14">
        <f>IF(D41&gt;0, F41/D41, 0)</f>
        <v/>
      </c>
      <c r="F41" s="13" t="n"/>
      <c r="G41" s="13" t="n"/>
      <c r="H41" s="13" t="n"/>
      <c r="I41" s="13" t="n"/>
      <c r="J41" s="13" t="n"/>
      <c r="K41" s="13">
        <f>F41+G41-H41+I41-J41</f>
        <v/>
      </c>
      <c r="L41" s="13">
        <f>'Thang_09'!L41+D41</f>
        <v/>
      </c>
      <c r="M41" s="14">
        <f>IF(L41&gt;0, N41/L41, 0)</f>
        <v/>
      </c>
      <c r="N41" s="13">
        <f>'Thang_09'!N41+F41</f>
        <v/>
      </c>
      <c r="O41" s="13">
        <f>'Thang_09'!O41+G41</f>
        <v/>
      </c>
      <c r="P41" s="13">
        <f>'Thang_09'!P41+H41</f>
        <v/>
      </c>
      <c r="Q41" s="13">
        <f>'Thang_09'!Q41+I41-J41</f>
        <v/>
      </c>
      <c r="R41" s="13">
        <f>'Thang_09'!R41+K41</f>
        <v/>
      </c>
    </row>
    <row r="42" ht="20" customHeight="1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/>
      <c r="E42" s="29">
        <f>IF(D42&gt;0, F42/D42, 0)</f>
        <v/>
      </c>
      <c r="F42" s="28" t="n"/>
      <c r="G42" s="28" t="n"/>
      <c r="H42" s="28" t="n"/>
      <c r="I42" s="28" t="n"/>
      <c r="J42" s="28" t="n"/>
      <c r="K42" s="28">
        <f>F42+G42-H42+I42-J42</f>
        <v/>
      </c>
      <c r="L42" s="28">
        <f>'Thang_09'!L42+D42</f>
        <v/>
      </c>
      <c r="M42" s="29">
        <f>IF(L42&gt;0, N42/L42, 0)</f>
        <v/>
      </c>
      <c r="N42" s="28">
        <f>'Thang_09'!N42+F42</f>
        <v/>
      </c>
      <c r="O42" s="28">
        <f>'Thang_09'!O42+G42</f>
        <v/>
      </c>
      <c r="P42" s="28">
        <f>'Thang_09'!P42+H42</f>
        <v/>
      </c>
      <c r="Q42" s="28">
        <f>'Thang_09'!Q42+I42-J42</f>
        <v/>
      </c>
      <c r="R42" s="28">
        <f>'Thang_09'!R42+K42</f>
        <v/>
      </c>
    </row>
    <row r="43" ht="20" customHeight="1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/>
      <c r="E43" s="29">
        <f>IF(D43&gt;0, F43/D43, 0)</f>
        <v/>
      </c>
      <c r="F43" s="28" t="n"/>
      <c r="G43" s="28" t="n"/>
      <c r="H43" s="28" t="n"/>
      <c r="I43" s="28" t="n"/>
      <c r="J43" s="28" t="n"/>
      <c r="K43" s="28">
        <f>F43+G43-H43+I43-J43</f>
        <v/>
      </c>
      <c r="L43" s="28">
        <f>'Thang_09'!L43+D43</f>
        <v/>
      </c>
      <c r="M43" s="29">
        <f>IF(L43&gt;0, N43/L43, 0)</f>
        <v/>
      </c>
      <c r="N43" s="28">
        <f>'Thang_09'!N43+F43</f>
        <v/>
      </c>
      <c r="O43" s="28">
        <f>'Thang_09'!O43+G43</f>
        <v/>
      </c>
      <c r="P43" s="28">
        <f>'Thang_09'!P43+H43</f>
        <v/>
      </c>
      <c r="Q43" s="28">
        <f>'Thang_09'!Q43+I43-J43</f>
        <v/>
      </c>
      <c r="R43" s="28">
        <f>'Thang_09'!R43+K43</f>
        <v/>
      </c>
    </row>
    <row r="44" ht="20" customHeight="1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/>
      <c r="E44" s="29">
        <f>IF(D44&gt;0, F44/D44, 0)</f>
        <v/>
      </c>
      <c r="F44" s="28" t="n"/>
      <c r="G44" s="28" t="n"/>
      <c r="H44" s="28" t="n"/>
      <c r="I44" s="28" t="n"/>
      <c r="J44" s="28" t="n"/>
      <c r="K44" s="28">
        <f>F44+G44-H44+I44-J44</f>
        <v/>
      </c>
      <c r="L44" s="28">
        <f>'Thang_09'!L44+D44</f>
        <v/>
      </c>
      <c r="M44" s="29">
        <f>IF(L44&gt;0, N44/L44, 0)</f>
        <v/>
      </c>
      <c r="N44" s="28">
        <f>'Thang_09'!N44+F44</f>
        <v/>
      </c>
      <c r="O44" s="28">
        <f>'Thang_09'!O44+G44</f>
        <v/>
      </c>
      <c r="P44" s="28">
        <f>'Thang_09'!P44+H44</f>
        <v/>
      </c>
      <c r="Q44" s="28">
        <f>'Thang_09'!Q44+I44-J44</f>
        <v/>
      </c>
      <c r="R44" s="28">
        <f>'Thang_09'!R44+K44</f>
        <v/>
      </c>
    </row>
    <row r="45" ht="20" customHeight="1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/>
      <c r="E45" s="29">
        <f>IF(D45&gt;0, F45/D45, 0)</f>
        <v/>
      </c>
      <c r="F45" s="28" t="n"/>
      <c r="G45" s="28" t="n"/>
      <c r="H45" s="28" t="n"/>
      <c r="I45" s="28" t="n"/>
      <c r="J45" s="28" t="n"/>
      <c r="K45" s="28">
        <f>F45+G45-H45+I45-J45</f>
        <v/>
      </c>
      <c r="L45" s="28">
        <f>'Thang_09'!L45+D45</f>
        <v/>
      </c>
      <c r="M45" s="29">
        <f>IF(L45&gt;0, N45/L45, 0)</f>
        <v/>
      </c>
      <c r="N45" s="28">
        <f>'Thang_09'!N45+F45</f>
        <v/>
      </c>
      <c r="O45" s="28">
        <f>'Thang_09'!O45+G45</f>
        <v/>
      </c>
      <c r="P45" s="28">
        <f>'Thang_09'!P45+H45</f>
        <v/>
      </c>
      <c r="Q45" s="28">
        <f>'Thang_09'!Q45+I45-J45</f>
        <v/>
      </c>
      <c r="R45" s="28">
        <f>'Thang_09'!R45+K45</f>
        <v/>
      </c>
    </row>
    <row r="46" ht="20" customHeight="1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/>
      <c r="E46" s="29">
        <f>IF(D46&gt;0, F46/D46, 0)</f>
        <v/>
      </c>
      <c r="F46" s="28" t="n"/>
      <c r="G46" s="28" t="n"/>
      <c r="H46" s="28" t="n"/>
      <c r="I46" s="28" t="n"/>
      <c r="J46" s="28" t="n"/>
      <c r="K46" s="28">
        <f>F46+G46-H46+I46-J46</f>
        <v/>
      </c>
      <c r="L46" s="28">
        <f>'Thang_09'!L46+D46</f>
        <v/>
      </c>
      <c r="M46" s="29">
        <f>IF(L46&gt;0, N46/L46, 0)</f>
        <v/>
      </c>
      <c r="N46" s="28">
        <f>'Thang_09'!N46+F46</f>
        <v/>
      </c>
      <c r="O46" s="28">
        <f>'Thang_09'!O46+G46</f>
        <v/>
      </c>
      <c r="P46" s="28">
        <f>'Thang_09'!P46+H46</f>
        <v/>
      </c>
      <c r="Q46" s="28">
        <f>'Thang_09'!Q46+I46-J46</f>
        <v/>
      </c>
      <c r="R46" s="28">
        <f>'Thang_09'!R46+K46</f>
        <v/>
      </c>
    </row>
    <row r="47" ht="20" customHeight="1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/>
      <c r="E47" s="29">
        <f>IF(D47&gt;0, F47/D47, 0)</f>
        <v/>
      </c>
      <c r="F47" s="28" t="n"/>
      <c r="G47" s="28" t="n"/>
      <c r="H47" s="28" t="n"/>
      <c r="I47" s="28" t="n"/>
      <c r="J47" s="28" t="n"/>
      <c r="K47" s="28">
        <f>F47+G47-H47+I47-J47</f>
        <v/>
      </c>
      <c r="L47" s="28">
        <f>'Thang_09'!L47+D47</f>
        <v/>
      </c>
      <c r="M47" s="29">
        <f>IF(L47&gt;0, N47/L47, 0)</f>
        <v/>
      </c>
      <c r="N47" s="28">
        <f>'Thang_09'!N47+F47</f>
        <v/>
      </c>
      <c r="O47" s="28">
        <f>'Thang_09'!O47+G47</f>
        <v/>
      </c>
      <c r="P47" s="28">
        <f>'Thang_09'!P47+H47</f>
        <v/>
      </c>
      <c r="Q47" s="28">
        <f>'Thang_09'!Q47+I47-J47</f>
        <v/>
      </c>
      <c r="R47" s="28">
        <f>'Thang_09'!R47+K47</f>
        <v/>
      </c>
    </row>
    <row r="48" ht="20" customHeight="1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/>
      <c r="E48" s="29">
        <f>IF(D48&gt;0, F48/D48, 0)</f>
        <v/>
      </c>
      <c r="F48" s="28" t="n"/>
      <c r="G48" s="28" t="n"/>
      <c r="H48" s="28" t="n"/>
      <c r="I48" s="28" t="n"/>
      <c r="J48" s="28" t="n"/>
      <c r="K48" s="28">
        <f>F48+G48-H48+I48-J48</f>
        <v/>
      </c>
      <c r="L48" s="28">
        <f>'Thang_09'!L48+D48</f>
        <v/>
      </c>
      <c r="M48" s="29">
        <f>IF(L48&gt;0, N48/L48, 0)</f>
        <v/>
      </c>
      <c r="N48" s="28">
        <f>'Thang_09'!N48+F48</f>
        <v/>
      </c>
      <c r="O48" s="28">
        <f>'Thang_09'!O48+G48</f>
        <v/>
      </c>
      <c r="P48" s="28">
        <f>'Thang_09'!P48+H48</f>
        <v/>
      </c>
      <c r="Q48" s="28">
        <f>'Thang_09'!Q48+I48-J48</f>
        <v/>
      </c>
      <c r="R48" s="28">
        <f>'Thang_09'!R48+K48</f>
        <v/>
      </c>
    </row>
    <row r="49" ht="20" customHeight="1">
      <c r="A49" s="30" t="inlineStr">
        <is>
          <t>★</t>
        </is>
      </c>
      <c r="B49" s="31" t="inlineStr">
        <is>
          <t>TỔNG CỘNG TOÀN TẬP ĐOÀN</t>
        </is>
      </c>
      <c r="C49" s="32" t="n">
        <v>93000</v>
      </c>
      <c r="D49" s="33" t="n"/>
      <c r="E49" s="34">
        <f>IF(D49&gt;0, F49/D49, 0)</f>
        <v/>
      </c>
      <c r="F49" s="33" t="n"/>
      <c r="G49" s="33" t="n"/>
      <c r="H49" s="33" t="n"/>
      <c r="I49" s="33" t="n"/>
      <c r="J49" s="33" t="n"/>
      <c r="K49" s="33">
        <f>F49+G49-H49+I49-J49</f>
        <v/>
      </c>
      <c r="L49" s="33">
        <f>'Thang_09'!L49+D49</f>
        <v/>
      </c>
      <c r="M49" s="34">
        <f>IF(L49&gt;0, N49/L49, 0)</f>
        <v/>
      </c>
      <c r="N49" s="33">
        <f>'Thang_09'!N49+F49</f>
        <v/>
      </c>
      <c r="O49" s="33">
        <f>'Thang_09'!O49+G49</f>
        <v/>
      </c>
      <c r="P49" s="33">
        <f>'Thang_09'!P49+H49</f>
        <v/>
      </c>
      <c r="Q49" s="33">
        <f>'Thang_09'!Q49+I49-J49</f>
        <v/>
      </c>
      <c r="R49" s="33">
        <f>'Thang_09'!R49+K49</f>
        <v/>
      </c>
    </row>
  </sheetData>
  <mergeCells count="7">
    <mergeCell ref="D3:K3"/>
    <mergeCell ref="A2:R2"/>
    <mergeCell ref="C3:C4"/>
    <mergeCell ref="B3:B4"/>
    <mergeCell ref="A3:A4"/>
    <mergeCell ref="L3:R3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9" customWidth="1" min="5" max="5"/>
    <col width="11" customWidth="1" min="6" max="6"/>
    <col width="9" customWidth="1" min="7" max="7"/>
    <col width="11" customWidth="1" min="8" max="8"/>
    <col width="10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9" customWidth="1" min="15" max="15"/>
    <col width="12" customWidth="1" min="16" max="16"/>
    <col width="11" customWidth="1" min="17" max="17"/>
    <col width="13" customWidth="1" min="18" max="18"/>
  </cols>
  <sheetData>
    <row r="1" ht="28" customHeight="1">
      <c r="A1" s="1" t="inlineStr">
        <is>
          <t>BÁO CÁO KẾT QUẢ HOẠT ĐỘNG KINH DOANH - THÁNG 11/2026</t>
        </is>
      </c>
    </row>
    <row r="2" ht="18" customHeight="1">
      <c r="A2" s="2" t="inlineStr">
        <is>
          <t>Đơn vị tính: Triệu đồng (Tr.đ) | Tự động cộng dồn lũy kế kế thừa Tháng 10 | Đồng bộ trực tiếp Dashboard VPS Group</t>
        </is>
      </c>
    </row>
    <row r="3" ht="24" customHeight="1">
      <c r="A3" s="3" t="inlineStr">
        <is>
          <t>TT</t>
        </is>
      </c>
      <c r="B3" s="4" t="inlineStr">
        <is>
          <t>NỘI DUNG / ĐƠN VỊ KINH DOANH</t>
        </is>
      </c>
      <c r="C3" s="3" t="inlineStr">
        <is>
          <t>VỐN ĐT</t>
        </is>
      </c>
      <c r="D3" s="5" t="inlineStr">
        <is>
          <t>PHÁT SINH THÁNG 11/2026</t>
        </is>
      </c>
      <c r="E3" s="6" t="n"/>
      <c r="F3" s="6" t="n"/>
      <c r="G3" s="6" t="n"/>
      <c r="H3" s="6" t="n"/>
      <c r="I3" s="6" t="n"/>
      <c r="J3" s="6" t="n"/>
      <c r="K3" s="6" t="n"/>
      <c r="L3" s="7" t="inlineStr">
        <is>
          <t>LŨY KẾ ĐẾN HẾT THÁNG 11/2026</t>
        </is>
      </c>
      <c r="M3" s="6" t="n"/>
      <c r="N3" s="6" t="n"/>
      <c r="O3" s="6" t="n"/>
      <c r="P3" s="6" t="n"/>
      <c r="Q3" s="6" t="n"/>
      <c r="R3" s="6" t="n"/>
    </row>
    <row r="4" ht="24" customHeight="1">
      <c r="A4" s="6" t="n"/>
      <c r="B4" s="6" t="n"/>
      <c r="C4" s="6" t="n"/>
      <c r="D4" s="8" t="inlineStr">
        <is>
          <t>DS</t>
        </is>
      </c>
      <c r="E4" s="8" t="inlineStr">
        <is>
          <t>% LG</t>
        </is>
      </c>
      <c r="F4" s="8" t="inlineStr">
        <is>
          <t>LG</t>
        </is>
      </c>
      <c r="G4" s="8" t="inlineStr">
        <is>
          <t>HT LG</t>
        </is>
      </c>
      <c r="H4" s="8" t="inlineStr">
        <is>
          <t>CHI PHÍ</t>
        </is>
      </c>
      <c r="I4" s="8" t="inlineStr">
        <is>
          <t>TN KHÁC</t>
        </is>
      </c>
      <c r="J4" s="8" t="inlineStr">
        <is>
          <t>CP KHÁC</t>
        </is>
      </c>
      <c r="K4" s="8" t="inlineStr">
        <is>
          <t>LNTT</t>
        </is>
      </c>
      <c r="L4" s="9" t="inlineStr">
        <is>
          <t>DS</t>
        </is>
      </c>
      <c r="M4" s="9" t="inlineStr">
        <is>
          <t>% LG</t>
        </is>
      </c>
      <c r="N4" s="9" t="inlineStr">
        <is>
          <t>LG</t>
        </is>
      </c>
      <c r="O4" s="9" t="inlineStr">
        <is>
          <t>HT LG</t>
        </is>
      </c>
      <c r="P4" s="9" t="inlineStr">
        <is>
          <t>CHI PHÍ</t>
        </is>
      </c>
      <c r="Q4" s="9" t="inlineStr">
        <is>
          <t>TN KHÁC</t>
        </is>
      </c>
      <c r="R4" s="9" t="inlineStr">
        <is>
          <t>LNTT</t>
        </is>
      </c>
    </row>
    <row r="5" ht="20" customHeight="1">
      <c r="A5" s="10" t="inlineStr">
        <is>
          <t>I</t>
        </is>
      </c>
      <c r="B5" s="11" t="inlineStr">
        <is>
          <t>MIỀN BẮC</t>
        </is>
      </c>
      <c r="C5" s="12" t="n">
        <v>90000</v>
      </c>
      <c r="D5" s="13" t="n"/>
      <c r="E5" s="14">
        <f>IF(D5&gt;0, F5/D5, 0)</f>
        <v/>
      </c>
      <c r="F5" s="13" t="n"/>
      <c r="G5" s="13" t="n"/>
      <c r="H5" s="13" t="n"/>
      <c r="I5" s="13" t="n"/>
      <c r="J5" s="13" t="n"/>
      <c r="K5" s="13">
        <f>F5+G5-H5+I5-J5</f>
        <v/>
      </c>
      <c r="L5" s="13">
        <f>'Thang_10'!L5+D5</f>
        <v/>
      </c>
      <c r="M5" s="14">
        <f>IF(L5&gt;0, N5/L5, 0)</f>
        <v/>
      </c>
      <c r="N5" s="13">
        <f>'Thang_10'!N5+F5</f>
        <v/>
      </c>
      <c r="O5" s="13">
        <f>'Thang_10'!O5+G5</f>
        <v/>
      </c>
      <c r="P5" s="13">
        <f>'Thang_10'!P5+H5</f>
        <v/>
      </c>
      <c r="Q5" s="13">
        <f>'Thang_10'!Q5+I5-J5</f>
        <v/>
      </c>
      <c r="R5" s="13">
        <f>'Thang_10'!R5+K5</f>
        <v/>
      </c>
    </row>
    <row r="6" ht="20" customHeight="1">
      <c r="A6" s="15" t="inlineStr">
        <is>
          <t>1</t>
        </is>
      </c>
      <c r="B6" s="16" t="inlineStr">
        <is>
          <t>THH (Tân Hồng Hà)</t>
        </is>
      </c>
      <c r="C6" s="17" t="n">
        <v>50000</v>
      </c>
      <c r="D6" s="18" t="n"/>
      <c r="E6" s="19">
        <f>IF(D6&gt;0, F6/D6, 0)</f>
        <v/>
      </c>
      <c r="F6" s="18" t="n"/>
      <c r="G6" s="18" t="n"/>
      <c r="H6" s="18" t="n"/>
      <c r="I6" s="18" t="n"/>
      <c r="J6" s="18" t="n"/>
      <c r="K6" s="18">
        <f>F6+G6-H6+I6-J6</f>
        <v/>
      </c>
      <c r="L6" s="18">
        <f>'Thang_10'!L6+D6</f>
        <v/>
      </c>
      <c r="M6" s="19">
        <f>IF(L6&gt;0, N6/L6, 0)</f>
        <v/>
      </c>
      <c r="N6" s="18">
        <f>'Thang_10'!N6+F6</f>
        <v/>
      </c>
      <c r="O6" s="18">
        <f>'Thang_10'!O6+G6</f>
        <v/>
      </c>
      <c r="P6" s="18">
        <f>'Thang_10'!P6+H6</f>
        <v/>
      </c>
      <c r="Q6" s="18">
        <f>'Thang_10'!Q6+I6-J6</f>
        <v/>
      </c>
      <c r="R6" s="18">
        <f>'Thang_10'!R6+K6</f>
        <v/>
      </c>
    </row>
    <row r="7" ht="20" customHeight="1">
      <c r="A7" s="20" t="inlineStr">
        <is>
          <t>a</t>
        </is>
      </c>
      <c r="B7" s="21" t="inlineStr">
        <is>
          <t xml:space="preserve">  Khối dịch vụ kỹ thuật</t>
        </is>
      </c>
      <c r="C7" s="22" t="inlineStr"/>
      <c r="D7" s="23" t="n"/>
      <c r="E7" s="24">
        <f>IF(D7&gt;0, F7/D7, 0)</f>
        <v/>
      </c>
      <c r="F7" s="23" t="n"/>
      <c r="G7" s="23" t="n"/>
      <c r="H7" s="23" t="n"/>
      <c r="I7" s="23" t="n"/>
      <c r="J7" s="23" t="n"/>
      <c r="K7" s="23">
        <f>F7+G7-H7+I7-J7</f>
        <v/>
      </c>
      <c r="L7" s="23">
        <f>'Thang_10'!L7+D7</f>
        <v/>
      </c>
      <c r="M7" s="24">
        <f>IF(L7&gt;0, N7/L7, 0)</f>
        <v/>
      </c>
      <c r="N7" s="23">
        <f>'Thang_10'!N7+F7</f>
        <v/>
      </c>
      <c r="O7" s="23">
        <f>'Thang_10'!O7+G7</f>
        <v/>
      </c>
      <c r="P7" s="23">
        <f>'Thang_10'!P7+H7</f>
        <v/>
      </c>
      <c r="Q7" s="23">
        <f>'Thang_10'!Q7+I7-J7</f>
        <v/>
      </c>
      <c r="R7" s="23">
        <f>'Thang_10'!R7+K7</f>
        <v/>
      </c>
    </row>
    <row r="8" ht="20" customHeight="1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/>
      <c r="E8" s="29">
        <f>IF(D8&gt;0, F8/D8, 0)</f>
        <v/>
      </c>
      <c r="F8" s="28" t="n"/>
      <c r="G8" s="28" t="n"/>
      <c r="H8" s="28" t="n"/>
      <c r="I8" s="28" t="n"/>
      <c r="J8" s="28" t="n"/>
      <c r="K8" s="28">
        <f>F8+G8-H8+I8-J8</f>
        <v/>
      </c>
      <c r="L8" s="28">
        <f>'Thang_10'!L8+D8</f>
        <v/>
      </c>
      <c r="M8" s="29">
        <f>IF(L8&gt;0, N8/L8, 0)</f>
        <v/>
      </c>
      <c r="N8" s="28">
        <f>'Thang_10'!N8+F8</f>
        <v/>
      </c>
      <c r="O8" s="28">
        <f>'Thang_10'!O8+G8</f>
        <v/>
      </c>
      <c r="P8" s="28">
        <f>'Thang_10'!P8+H8</f>
        <v/>
      </c>
      <c r="Q8" s="28">
        <f>'Thang_10'!Q8+I8-J8</f>
        <v/>
      </c>
      <c r="R8" s="28">
        <f>'Thang_10'!R8+K8</f>
        <v/>
      </c>
    </row>
    <row r="9" ht="20" customHeight="1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/>
      <c r="E9" s="29">
        <f>IF(D9&gt;0, F9/D9, 0)</f>
        <v/>
      </c>
      <c r="F9" s="28" t="n"/>
      <c r="G9" s="28" t="n"/>
      <c r="H9" s="28" t="n"/>
      <c r="I9" s="28" t="n"/>
      <c r="J9" s="28" t="n"/>
      <c r="K9" s="28">
        <f>F9+G9-H9+I9-J9</f>
        <v/>
      </c>
      <c r="L9" s="28">
        <f>'Thang_10'!L9+D9</f>
        <v/>
      </c>
      <c r="M9" s="29">
        <f>IF(L9&gt;0, N9/L9, 0)</f>
        <v/>
      </c>
      <c r="N9" s="28">
        <f>'Thang_10'!N9+F9</f>
        <v/>
      </c>
      <c r="O9" s="28">
        <f>'Thang_10'!O9+G9</f>
        <v/>
      </c>
      <c r="P9" s="28">
        <f>'Thang_10'!P9+H9</f>
        <v/>
      </c>
      <c r="Q9" s="28">
        <f>'Thang_10'!Q9+I9-J9</f>
        <v/>
      </c>
      <c r="R9" s="28">
        <f>'Thang_10'!R9+K9</f>
        <v/>
      </c>
    </row>
    <row r="10" ht="20" customHeight="1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/>
      <c r="E10" s="29">
        <f>IF(D10&gt;0, F10/D10, 0)</f>
        <v/>
      </c>
      <c r="F10" s="28" t="n"/>
      <c r="G10" s="28" t="n"/>
      <c r="H10" s="28" t="n"/>
      <c r="I10" s="28" t="n"/>
      <c r="J10" s="28" t="n"/>
      <c r="K10" s="28">
        <f>F10+G10-H10+I10-J10</f>
        <v/>
      </c>
      <c r="L10" s="28">
        <f>'Thang_10'!L10+D10</f>
        <v/>
      </c>
      <c r="M10" s="29">
        <f>IF(L10&gt;0, N10/L10, 0)</f>
        <v/>
      </c>
      <c r="N10" s="28">
        <f>'Thang_10'!N10+F10</f>
        <v/>
      </c>
      <c r="O10" s="28">
        <f>'Thang_10'!O10+G10</f>
        <v/>
      </c>
      <c r="P10" s="28">
        <f>'Thang_10'!P10+H10</f>
        <v/>
      </c>
      <c r="Q10" s="28">
        <f>'Thang_10'!Q10+I10-J10</f>
        <v/>
      </c>
      <c r="R10" s="28">
        <f>'Thang_10'!R10+K10</f>
        <v/>
      </c>
    </row>
    <row r="11" ht="20" customHeight="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/>
      <c r="E11" s="29">
        <f>IF(D11&gt;0, F11/D11, 0)</f>
        <v/>
      </c>
      <c r="F11" s="28" t="n"/>
      <c r="G11" s="28" t="n"/>
      <c r="H11" s="28" t="n"/>
      <c r="I11" s="28" t="n"/>
      <c r="J11" s="28" t="n"/>
      <c r="K11" s="28">
        <f>F11+G11-H11+I11-J11</f>
        <v/>
      </c>
      <c r="L11" s="28">
        <f>'Thang_10'!L11+D11</f>
        <v/>
      </c>
      <c r="M11" s="29">
        <f>IF(L11&gt;0, N11/L11, 0)</f>
        <v/>
      </c>
      <c r="N11" s="28">
        <f>'Thang_10'!N11+F11</f>
        <v/>
      </c>
      <c r="O11" s="28">
        <f>'Thang_10'!O11+G11</f>
        <v/>
      </c>
      <c r="P11" s="28">
        <f>'Thang_10'!P11+H11</f>
        <v/>
      </c>
      <c r="Q11" s="28">
        <f>'Thang_10'!Q11+I11-J11</f>
        <v/>
      </c>
      <c r="R11" s="28">
        <f>'Thang_10'!R11+K11</f>
        <v/>
      </c>
    </row>
    <row r="12" ht="20" customHeight="1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/>
      <c r="E12" s="29">
        <f>IF(D12&gt;0, F12/D12, 0)</f>
        <v/>
      </c>
      <c r="F12" s="28" t="n"/>
      <c r="G12" s="28" t="n"/>
      <c r="H12" s="28" t="n"/>
      <c r="I12" s="28" t="n"/>
      <c r="J12" s="28" t="n"/>
      <c r="K12" s="28">
        <f>F12+G12-H12+I12-J12</f>
        <v/>
      </c>
      <c r="L12" s="28">
        <f>'Thang_10'!L12+D12</f>
        <v/>
      </c>
      <c r="M12" s="29">
        <f>IF(L12&gt;0, N12/L12, 0)</f>
        <v/>
      </c>
      <c r="N12" s="28">
        <f>'Thang_10'!N12+F12</f>
        <v/>
      </c>
      <c r="O12" s="28">
        <f>'Thang_10'!O12+G12</f>
        <v/>
      </c>
      <c r="P12" s="28">
        <f>'Thang_10'!P12+H12</f>
        <v/>
      </c>
      <c r="Q12" s="28">
        <f>'Thang_10'!Q12+I12-J12</f>
        <v/>
      </c>
      <c r="R12" s="28">
        <f>'Thang_10'!R12+K12</f>
        <v/>
      </c>
    </row>
    <row r="13" ht="20" customHeight="1">
      <c r="A13" s="20" t="inlineStr">
        <is>
          <t>b</t>
        </is>
      </c>
      <c r="B13" s="21" t="inlineStr">
        <is>
          <t xml:space="preserve">  Kinh doanh tổng hợp</t>
        </is>
      </c>
      <c r="C13" s="22" t="inlineStr"/>
      <c r="D13" s="23" t="n"/>
      <c r="E13" s="24">
        <f>IF(D13&gt;0, F13/D13, 0)</f>
        <v/>
      </c>
      <c r="F13" s="23" t="n"/>
      <c r="G13" s="23" t="n"/>
      <c r="H13" s="23" t="n"/>
      <c r="I13" s="23" t="n"/>
      <c r="J13" s="23" t="n"/>
      <c r="K13" s="23">
        <f>F13+G13-H13+I13-J13</f>
        <v/>
      </c>
      <c r="L13" s="23">
        <f>'Thang_10'!L13+D13</f>
        <v/>
      </c>
      <c r="M13" s="24">
        <f>IF(L13&gt;0, N13/L13, 0)</f>
        <v/>
      </c>
      <c r="N13" s="23">
        <f>'Thang_10'!N13+F13</f>
        <v/>
      </c>
      <c r="O13" s="23">
        <f>'Thang_10'!O13+G13</f>
        <v/>
      </c>
      <c r="P13" s="23">
        <f>'Thang_10'!P13+H13</f>
        <v/>
      </c>
      <c r="Q13" s="23">
        <f>'Thang_10'!Q13+I13-J13</f>
        <v/>
      </c>
      <c r="R13" s="23">
        <f>'Thang_10'!R13+K13</f>
        <v/>
      </c>
    </row>
    <row r="14" ht="20" customHeight="1">
      <c r="A14" s="20" t="inlineStr">
        <is>
          <t>c</t>
        </is>
      </c>
      <c r="B14" s="21" t="inlineStr">
        <is>
          <t xml:space="preserve">  Kinh doanh bán buôn</t>
        </is>
      </c>
      <c r="C14" s="22" t="inlineStr"/>
      <c r="D14" s="23" t="n"/>
      <c r="E14" s="24">
        <f>IF(D14&gt;0, F14/D14, 0)</f>
        <v/>
      </c>
      <c r="F14" s="23" t="n"/>
      <c r="G14" s="23" t="n"/>
      <c r="H14" s="23" t="n"/>
      <c r="I14" s="23" t="n"/>
      <c r="J14" s="23" t="n"/>
      <c r="K14" s="23">
        <f>F14+G14-H14+I14-J14</f>
        <v/>
      </c>
      <c r="L14" s="23">
        <f>'Thang_10'!L14+D14</f>
        <v/>
      </c>
      <c r="M14" s="24">
        <f>IF(L14&gt;0, N14/L14, 0)</f>
        <v/>
      </c>
      <c r="N14" s="23">
        <f>'Thang_10'!N14+F14</f>
        <v/>
      </c>
      <c r="O14" s="23">
        <f>'Thang_10'!O14+G14</f>
        <v/>
      </c>
      <c r="P14" s="23">
        <f>'Thang_10'!P14+H14</f>
        <v/>
      </c>
      <c r="Q14" s="23">
        <f>'Thang_10'!Q14+I14-J14</f>
        <v/>
      </c>
      <c r="R14" s="23">
        <f>'Thang_10'!R14+K14</f>
        <v/>
      </c>
    </row>
    <row r="15" ht="20" customHeight="1">
      <c r="A15" s="20" t="inlineStr">
        <is>
          <t>d</t>
        </is>
      </c>
      <c r="B15" s="21" t="inlineStr">
        <is>
          <t xml:space="preserve">  Dự án</t>
        </is>
      </c>
      <c r="C15" s="22" t="inlineStr"/>
      <c r="D15" s="23" t="n"/>
      <c r="E15" s="24">
        <f>IF(D15&gt;0, F15/D15, 0)</f>
        <v/>
      </c>
      <c r="F15" s="23" t="n"/>
      <c r="G15" s="23" t="n"/>
      <c r="H15" s="23" t="n"/>
      <c r="I15" s="23" t="n"/>
      <c r="J15" s="23" t="n"/>
      <c r="K15" s="23">
        <f>F15+G15-H15+I15-J15</f>
        <v/>
      </c>
      <c r="L15" s="23">
        <f>'Thang_10'!L15+D15</f>
        <v/>
      </c>
      <c r="M15" s="24">
        <f>IF(L15&gt;0, N15/L15, 0)</f>
        <v/>
      </c>
      <c r="N15" s="23">
        <f>'Thang_10'!N15+F15</f>
        <v/>
      </c>
      <c r="O15" s="23">
        <f>'Thang_10'!O15+G15</f>
        <v/>
      </c>
      <c r="P15" s="23">
        <f>'Thang_10'!P15+H15</f>
        <v/>
      </c>
      <c r="Q15" s="23">
        <f>'Thang_10'!Q15+I15-J15</f>
        <v/>
      </c>
      <c r="R15" s="23">
        <f>'Thang_10'!R15+K15</f>
        <v/>
      </c>
    </row>
    <row r="16" ht="20" customHeight="1">
      <c r="A16" s="15" t="inlineStr">
        <is>
          <t>2</t>
        </is>
      </c>
      <c r="B16" s="16" t="inlineStr">
        <is>
          <t>Việt</t>
        </is>
      </c>
      <c r="C16" s="17" t="n">
        <v>10000</v>
      </c>
      <c r="D16" s="18" t="n"/>
      <c r="E16" s="19">
        <f>IF(D16&gt;0, F16/D16, 0)</f>
        <v/>
      </c>
      <c r="F16" s="18" t="n"/>
      <c r="G16" s="18" t="n"/>
      <c r="H16" s="18" t="n"/>
      <c r="I16" s="18" t="n"/>
      <c r="J16" s="18" t="n"/>
      <c r="K16" s="18">
        <f>F16+G16-H16+I16-J16</f>
        <v/>
      </c>
      <c r="L16" s="18">
        <f>'Thang_10'!L16+D16</f>
        <v/>
      </c>
      <c r="M16" s="19">
        <f>IF(L16&gt;0, N16/L16, 0)</f>
        <v/>
      </c>
      <c r="N16" s="18">
        <f>'Thang_10'!N16+F16</f>
        <v/>
      </c>
      <c r="O16" s="18">
        <f>'Thang_10'!O16+G16</f>
        <v/>
      </c>
      <c r="P16" s="18">
        <f>'Thang_10'!P16+H16</f>
        <v/>
      </c>
      <c r="Q16" s="18">
        <f>'Thang_10'!Q16+I16-J16</f>
        <v/>
      </c>
      <c r="R16" s="18">
        <f>'Thang_10'!R16+K16</f>
        <v/>
      </c>
    </row>
    <row r="17" ht="20" customHeight="1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/>
      <c r="E17" s="29">
        <f>IF(D17&gt;0, F17/D17, 0)</f>
        <v/>
      </c>
      <c r="F17" s="28" t="n"/>
      <c r="G17" s="28" t="n"/>
      <c r="H17" s="28" t="n"/>
      <c r="I17" s="28" t="n"/>
      <c r="J17" s="28" t="n"/>
      <c r="K17" s="28">
        <f>F17+G17-H17+I17-J17</f>
        <v/>
      </c>
      <c r="L17" s="28">
        <f>'Thang_10'!L17+D17</f>
        <v/>
      </c>
      <c r="M17" s="29">
        <f>IF(L17&gt;0, N17/L17, 0)</f>
        <v/>
      </c>
      <c r="N17" s="28">
        <f>'Thang_10'!N17+F17</f>
        <v/>
      </c>
      <c r="O17" s="28">
        <f>'Thang_10'!O17+G17</f>
        <v/>
      </c>
      <c r="P17" s="28">
        <f>'Thang_10'!P17+H17</f>
        <v/>
      </c>
      <c r="Q17" s="28">
        <f>'Thang_10'!Q17+I17-J17</f>
        <v/>
      </c>
      <c r="R17" s="28">
        <f>'Thang_10'!R17+K17</f>
        <v/>
      </c>
    </row>
    <row r="18" ht="20" customHeight="1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/>
      <c r="E18" s="29">
        <f>IF(D18&gt;0, F18/D18, 0)</f>
        <v/>
      </c>
      <c r="F18" s="28" t="n"/>
      <c r="G18" s="28" t="n"/>
      <c r="H18" s="28" t="n"/>
      <c r="I18" s="28" t="n"/>
      <c r="J18" s="28" t="n"/>
      <c r="K18" s="28">
        <f>F18+G18-H18+I18-J18</f>
        <v/>
      </c>
      <c r="L18" s="28">
        <f>'Thang_10'!L18+D18</f>
        <v/>
      </c>
      <c r="M18" s="29">
        <f>IF(L18&gt;0, N18/L18, 0)</f>
        <v/>
      </c>
      <c r="N18" s="28">
        <f>'Thang_10'!N18+F18</f>
        <v/>
      </c>
      <c r="O18" s="28">
        <f>'Thang_10'!O18+G18</f>
        <v/>
      </c>
      <c r="P18" s="28">
        <f>'Thang_10'!P18+H18</f>
        <v/>
      </c>
      <c r="Q18" s="28">
        <f>'Thang_10'!Q18+I18-J18</f>
        <v/>
      </c>
      <c r="R18" s="28">
        <f>'Thang_10'!R18+K18</f>
        <v/>
      </c>
    </row>
    <row r="19" ht="20" customHeight="1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/>
      <c r="E19" s="29">
        <f>IF(D19&gt;0, F19/D19, 0)</f>
        <v/>
      </c>
      <c r="F19" s="28" t="n"/>
      <c r="G19" s="28" t="n"/>
      <c r="H19" s="28" t="n"/>
      <c r="I19" s="28" t="n"/>
      <c r="J19" s="28" t="n"/>
      <c r="K19" s="28">
        <f>F19+G19-H19+I19-J19</f>
        <v/>
      </c>
      <c r="L19" s="28">
        <f>'Thang_10'!L19+D19</f>
        <v/>
      </c>
      <c r="M19" s="29">
        <f>IF(L19&gt;0, N19/L19, 0)</f>
        <v/>
      </c>
      <c r="N19" s="28">
        <f>'Thang_10'!N19+F19</f>
        <v/>
      </c>
      <c r="O19" s="28">
        <f>'Thang_10'!O19+G19</f>
        <v/>
      </c>
      <c r="P19" s="28">
        <f>'Thang_10'!P19+H19</f>
        <v/>
      </c>
      <c r="Q19" s="28">
        <f>'Thang_10'!Q19+I19-J19</f>
        <v/>
      </c>
      <c r="R19" s="28">
        <f>'Thang_10'!R19+K19</f>
        <v/>
      </c>
    </row>
    <row r="20" ht="20" customHeight="1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/>
      <c r="E20" s="29">
        <f>IF(D20&gt;0, F20/D20, 0)</f>
        <v/>
      </c>
      <c r="F20" s="28" t="n"/>
      <c r="G20" s="28" t="n"/>
      <c r="H20" s="28" t="n"/>
      <c r="I20" s="28" t="n"/>
      <c r="J20" s="28" t="n"/>
      <c r="K20" s="28">
        <f>F20+G20-H20+I20-J20</f>
        <v/>
      </c>
      <c r="L20" s="28">
        <f>'Thang_10'!L20+D20</f>
        <v/>
      </c>
      <c r="M20" s="29">
        <f>IF(L20&gt;0, N20/L20, 0)</f>
        <v/>
      </c>
      <c r="N20" s="28">
        <f>'Thang_10'!N20+F20</f>
        <v/>
      </c>
      <c r="O20" s="28">
        <f>'Thang_10'!O20+G20</f>
        <v/>
      </c>
      <c r="P20" s="28">
        <f>'Thang_10'!P20+H20</f>
        <v/>
      </c>
      <c r="Q20" s="28">
        <f>'Thang_10'!Q20+I20-J20</f>
        <v/>
      </c>
      <c r="R20" s="28">
        <f>'Thang_10'!R20+K20</f>
        <v/>
      </c>
    </row>
    <row r="21" ht="20" customHeight="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/>
      <c r="E21" s="29">
        <f>IF(D21&gt;0, F21/D21, 0)</f>
        <v/>
      </c>
      <c r="F21" s="28" t="n"/>
      <c r="G21" s="28" t="n"/>
      <c r="H21" s="28" t="n"/>
      <c r="I21" s="28" t="n"/>
      <c r="J21" s="28" t="n"/>
      <c r="K21" s="28">
        <f>F21+G21-H21+I21-J21</f>
        <v/>
      </c>
      <c r="L21" s="28">
        <f>'Thang_10'!L21+D21</f>
        <v/>
      </c>
      <c r="M21" s="29">
        <f>IF(L21&gt;0, N21/L21, 0)</f>
        <v/>
      </c>
      <c r="N21" s="28">
        <f>'Thang_10'!N21+F21</f>
        <v/>
      </c>
      <c r="O21" s="28">
        <f>'Thang_10'!O21+G21</f>
        <v/>
      </c>
      <c r="P21" s="28">
        <f>'Thang_10'!P21+H21</f>
        <v/>
      </c>
      <c r="Q21" s="28">
        <f>'Thang_10'!Q21+I21-J21</f>
        <v/>
      </c>
      <c r="R21" s="28">
        <f>'Thang_10'!R21+K21</f>
        <v/>
      </c>
    </row>
    <row r="22" ht="20" customHeight="1">
      <c r="A22" s="15" t="inlineStr">
        <is>
          <t>3</t>
        </is>
      </c>
      <c r="B22" s="16" t="inlineStr">
        <is>
          <t>ITSS</t>
        </is>
      </c>
      <c r="C22" s="17" t="n">
        <v>5000</v>
      </c>
      <c r="D22" s="18" t="n"/>
      <c r="E22" s="19">
        <f>IF(D22&gt;0, F22/D22, 0)</f>
        <v/>
      </c>
      <c r="F22" s="18" t="n"/>
      <c r="G22" s="18" t="n"/>
      <c r="H22" s="18" t="n"/>
      <c r="I22" s="18" t="n"/>
      <c r="J22" s="18" t="n"/>
      <c r="K22" s="18">
        <f>F22+G22-H22+I22-J22</f>
        <v/>
      </c>
      <c r="L22" s="18">
        <f>'Thang_10'!L22+D22</f>
        <v/>
      </c>
      <c r="M22" s="19">
        <f>IF(L22&gt;0, N22/L22, 0)</f>
        <v/>
      </c>
      <c r="N22" s="18">
        <f>'Thang_10'!N22+F22</f>
        <v/>
      </c>
      <c r="O22" s="18">
        <f>'Thang_10'!O22+G22</f>
        <v/>
      </c>
      <c r="P22" s="18">
        <f>'Thang_10'!P22+H22</f>
        <v/>
      </c>
      <c r="Q22" s="18">
        <f>'Thang_10'!Q22+I22-J22</f>
        <v/>
      </c>
      <c r="R22" s="18">
        <f>'Thang_10'!R22+K22</f>
        <v/>
      </c>
    </row>
    <row r="23" ht="20" customHeight="1">
      <c r="A23" s="15" t="inlineStr">
        <is>
          <t>4</t>
        </is>
      </c>
      <c r="B23" s="16" t="inlineStr">
        <is>
          <t>CTY VPS</t>
        </is>
      </c>
      <c r="C23" s="17" t="n">
        <v>10000</v>
      </c>
      <c r="D23" s="18" t="n"/>
      <c r="E23" s="19">
        <f>IF(D23&gt;0, F23/D23, 0)</f>
        <v/>
      </c>
      <c r="F23" s="18" t="n"/>
      <c r="G23" s="18" t="n"/>
      <c r="H23" s="18" t="n"/>
      <c r="I23" s="18" t="n"/>
      <c r="J23" s="18" t="n"/>
      <c r="K23" s="18">
        <f>F23+G23-H23+I23-J23</f>
        <v/>
      </c>
      <c r="L23" s="18">
        <f>'Thang_10'!L23+D23</f>
        <v/>
      </c>
      <c r="M23" s="19">
        <f>IF(L23&gt;0, N23/L23, 0)</f>
        <v/>
      </c>
      <c r="N23" s="18">
        <f>'Thang_10'!N23+F23</f>
        <v/>
      </c>
      <c r="O23" s="18">
        <f>'Thang_10'!O23+G23</f>
        <v/>
      </c>
      <c r="P23" s="18">
        <f>'Thang_10'!P23+H23</f>
        <v/>
      </c>
      <c r="Q23" s="18">
        <f>'Thang_10'!Q23+I23-J23</f>
        <v/>
      </c>
      <c r="R23" s="18">
        <f>'Thang_10'!R23+K23</f>
        <v/>
      </c>
    </row>
    <row r="24" ht="20" customHeight="1">
      <c r="A24" s="20" t="inlineStr">
        <is>
          <t>4.1</t>
        </is>
      </c>
      <c r="B24" s="21" t="inlineStr">
        <is>
          <t xml:space="preserve">  VP VPS - hoạt động KD</t>
        </is>
      </c>
      <c r="C24" s="22" t="inlineStr"/>
      <c r="D24" s="23" t="n"/>
      <c r="E24" s="24">
        <f>IF(D24&gt;0, F24/D24, 0)</f>
        <v/>
      </c>
      <c r="F24" s="23" t="n"/>
      <c r="G24" s="23" t="n"/>
      <c r="H24" s="23" t="n"/>
      <c r="I24" s="23" t="n"/>
      <c r="J24" s="23" t="n"/>
      <c r="K24" s="23">
        <f>F24+G24-H24+I24-J24</f>
        <v/>
      </c>
      <c r="L24" s="23">
        <f>'Thang_10'!L24+D24</f>
        <v/>
      </c>
      <c r="M24" s="24">
        <f>IF(L24&gt;0, N24/L24, 0)</f>
        <v/>
      </c>
      <c r="N24" s="23">
        <f>'Thang_10'!N24+F24</f>
        <v/>
      </c>
      <c r="O24" s="23">
        <f>'Thang_10'!O24+G24</f>
        <v/>
      </c>
      <c r="P24" s="23">
        <f>'Thang_10'!P24+H24</f>
        <v/>
      </c>
      <c r="Q24" s="23">
        <f>'Thang_10'!Q24+I24-J24</f>
        <v/>
      </c>
      <c r="R24" s="23">
        <f>'Thang_10'!R24+K24</f>
        <v/>
      </c>
    </row>
    <row r="25" ht="20" customHeight="1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/>
      <c r="E25" s="29">
        <f>IF(D25&gt;0, F25/D25, 0)</f>
        <v/>
      </c>
      <c r="F25" s="28" t="n"/>
      <c r="G25" s="28" t="n"/>
      <c r="H25" s="28" t="n"/>
      <c r="I25" s="28" t="n"/>
      <c r="J25" s="28" t="n"/>
      <c r="K25" s="28">
        <f>F25+G25-H25+I25-J25</f>
        <v/>
      </c>
      <c r="L25" s="28">
        <f>'Thang_10'!L25+D25</f>
        <v/>
      </c>
      <c r="M25" s="29">
        <f>IF(L25&gt;0, N25/L25, 0)</f>
        <v/>
      </c>
      <c r="N25" s="28">
        <f>'Thang_10'!N25+F25</f>
        <v/>
      </c>
      <c r="O25" s="28">
        <f>'Thang_10'!O25+G25</f>
        <v/>
      </c>
      <c r="P25" s="28">
        <f>'Thang_10'!P25+H25</f>
        <v/>
      </c>
      <c r="Q25" s="28">
        <f>'Thang_10'!Q25+I25-J25</f>
        <v/>
      </c>
      <c r="R25" s="28">
        <f>'Thang_10'!R25+K25</f>
        <v/>
      </c>
    </row>
    <row r="26" ht="20" customHeight="1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/>
      <c r="E26" s="29">
        <f>IF(D26&gt;0, F26/D26, 0)</f>
        <v/>
      </c>
      <c r="F26" s="28" t="n"/>
      <c r="G26" s="28" t="n"/>
      <c r="H26" s="28" t="n"/>
      <c r="I26" s="28" t="n"/>
      <c r="J26" s="28" t="n"/>
      <c r="K26" s="28">
        <f>F26+G26-H26+I26-J26</f>
        <v/>
      </c>
      <c r="L26" s="28">
        <f>'Thang_10'!L26+D26</f>
        <v/>
      </c>
      <c r="M26" s="29">
        <f>IF(L26&gt;0, N26/L26, 0)</f>
        <v/>
      </c>
      <c r="N26" s="28">
        <f>'Thang_10'!N26+F26</f>
        <v/>
      </c>
      <c r="O26" s="28">
        <f>'Thang_10'!O26+G26</f>
        <v/>
      </c>
      <c r="P26" s="28">
        <f>'Thang_10'!P26+H26</f>
        <v/>
      </c>
      <c r="Q26" s="28">
        <f>'Thang_10'!Q26+I26-J26</f>
        <v/>
      </c>
      <c r="R26" s="28">
        <f>'Thang_10'!R26+K26</f>
        <v/>
      </c>
    </row>
    <row r="27" ht="20" customHeight="1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/>
      <c r="E27" s="29">
        <f>IF(D27&gt;0, F27/D27, 0)</f>
        <v/>
      </c>
      <c r="F27" s="28" t="n"/>
      <c r="G27" s="28" t="n"/>
      <c r="H27" s="28" t="n"/>
      <c r="I27" s="28" t="n"/>
      <c r="J27" s="28" t="n"/>
      <c r="K27" s="28">
        <f>F27+G27-H27+I27-J27</f>
        <v/>
      </c>
      <c r="L27" s="28">
        <f>'Thang_10'!L27+D27</f>
        <v/>
      </c>
      <c r="M27" s="29">
        <f>IF(L27&gt;0, N27/L27, 0)</f>
        <v/>
      </c>
      <c r="N27" s="28">
        <f>'Thang_10'!N27+F27</f>
        <v/>
      </c>
      <c r="O27" s="28">
        <f>'Thang_10'!O27+G27</f>
        <v/>
      </c>
      <c r="P27" s="28">
        <f>'Thang_10'!P27+H27</f>
        <v/>
      </c>
      <c r="Q27" s="28">
        <f>'Thang_10'!Q27+I27-J27</f>
        <v/>
      </c>
      <c r="R27" s="28">
        <f>'Thang_10'!R27+K27</f>
        <v/>
      </c>
    </row>
    <row r="28" ht="20" customHeight="1">
      <c r="A28" s="20" t="inlineStr">
        <is>
          <t>4.2</t>
        </is>
      </c>
      <c r="B28" s="21" t="inlineStr">
        <is>
          <t xml:space="preserve">  HĐ đầu tư Tài chính</t>
        </is>
      </c>
      <c r="C28" s="22" t="inlineStr"/>
      <c r="D28" s="23" t="n"/>
      <c r="E28" s="24">
        <f>IF(D28&gt;0, F28/D28, 0)</f>
        <v/>
      </c>
      <c r="F28" s="23" t="n"/>
      <c r="G28" s="23" t="n"/>
      <c r="H28" s="23" t="n"/>
      <c r="I28" s="23" t="n"/>
      <c r="J28" s="23" t="n"/>
      <c r="K28" s="23">
        <f>F28+G28-H28+I28-J28</f>
        <v/>
      </c>
      <c r="L28" s="23">
        <f>'Thang_10'!L28+D28</f>
        <v/>
      </c>
      <c r="M28" s="24">
        <f>IF(L28&gt;0, N28/L28, 0)</f>
        <v/>
      </c>
      <c r="N28" s="23">
        <f>'Thang_10'!N28+F28</f>
        <v/>
      </c>
      <c r="O28" s="23">
        <f>'Thang_10'!O28+G28</f>
        <v/>
      </c>
      <c r="P28" s="23">
        <f>'Thang_10'!P28+H28</f>
        <v/>
      </c>
      <c r="Q28" s="23">
        <f>'Thang_10'!Q28+I28-J28</f>
        <v/>
      </c>
      <c r="R28" s="23">
        <f>'Thang_10'!R28+K28</f>
        <v/>
      </c>
    </row>
    <row r="29" ht="20" customHeight="1">
      <c r="A29" s="15" t="inlineStr">
        <is>
          <t>5</t>
        </is>
      </c>
      <c r="B29" s="16" t="inlineStr">
        <is>
          <t>XESCO (Xem Sơn)</t>
        </is>
      </c>
      <c r="C29" s="17" t="n">
        <v>15000</v>
      </c>
      <c r="D29" s="18" t="n"/>
      <c r="E29" s="19">
        <f>IF(D29&gt;0, F29/D29, 0)</f>
        <v/>
      </c>
      <c r="F29" s="18" t="n"/>
      <c r="G29" s="18" t="n"/>
      <c r="H29" s="18" t="n"/>
      <c r="I29" s="18" t="n"/>
      <c r="J29" s="18" t="n"/>
      <c r="K29" s="18">
        <f>F29+G29-H29+I29-J29</f>
        <v/>
      </c>
      <c r="L29" s="18">
        <f>'Thang_10'!L29+D29</f>
        <v/>
      </c>
      <c r="M29" s="19">
        <f>IF(L29&gt;0, N29/L29, 0)</f>
        <v/>
      </c>
      <c r="N29" s="18">
        <f>'Thang_10'!N29+F29</f>
        <v/>
      </c>
      <c r="O29" s="18">
        <f>'Thang_10'!O29+G29</f>
        <v/>
      </c>
      <c r="P29" s="18">
        <f>'Thang_10'!P29+H29</f>
        <v/>
      </c>
      <c r="Q29" s="18">
        <f>'Thang_10'!Q29+I29-J29</f>
        <v/>
      </c>
      <c r="R29" s="18">
        <f>'Thang_10'!R29+K29</f>
        <v/>
      </c>
    </row>
    <row r="30" ht="20" customHeight="1">
      <c r="A30" s="20" t="inlineStr">
        <is>
          <t>5.1</t>
        </is>
      </c>
      <c r="B30" s="21" t="inlineStr">
        <is>
          <t xml:space="preserve">  Xesco - KT</t>
        </is>
      </c>
      <c r="C30" s="22" t="inlineStr"/>
      <c r="D30" s="23" t="n"/>
      <c r="E30" s="24">
        <f>IF(D30&gt;0, F30/D30, 0)</f>
        <v/>
      </c>
      <c r="F30" s="23" t="n"/>
      <c r="G30" s="23" t="n"/>
      <c r="H30" s="23" t="n"/>
      <c r="I30" s="23" t="n"/>
      <c r="J30" s="23" t="n"/>
      <c r="K30" s="23">
        <f>F30+G30-H30+I30-J30</f>
        <v/>
      </c>
      <c r="L30" s="23">
        <f>'Thang_10'!L30+D30</f>
        <v/>
      </c>
      <c r="M30" s="24">
        <f>IF(L30&gt;0, N30/L30, 0)</f>
        <v/>
      </c>
      <c r="N30" s="23">
        <f>'Thang_10'!N30+F30</f>
        <v/>
      </c>
      <c r="O30" s="23">
        <f>'Thang_10'!O30+G30</f>
        <v/>
      </c>
      <c r="P30" s="23">
        <f>'Thang_10'!P30+H30</f>
        <v/>
      </c>
      <c r="Q30" s="23">
        <f>'Thang_10'!Q30+I30-J30</f>
        <v/>
      </c>
      <c r="R30" s="23">
        <f>'Thang_10'!R30+K30</f>
        <v/>
      </c>
    </row>
    <row r="31" ht="20" customHeight="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/>
      <c r="E31" s="29">
        <f>IF(D31&gt;0, F31/D31, 0)</f>
        <v/>
      </c>
      <c r="F31" s="28" t="n"/>
      <c r="G31" s="28" t="n"/>
      <c r="H31" s="28" t="n"/>
      <c r="I31" s="28" t="n"/>
      <c r="J31" s="28" t="n"/>
      <c r="K31" s="28">
        <f>F31+G31-H31+I31-J31</f>
        <v/>
      </c>
      <c r="L31" s="28">
        <f>'Thang_10'!L31+D31</f>
        <v/>
      </c>
      <c r="M31" s="29">
        <f>IF(L31&gt;0, N31/L31, 0)</f>
        <v/>
      </c>
      <c r="N31" s="28">
        <f>'Thang_10'!N31+F31</f>
        <v/>
      </c>
      <c r="O31" s="28">
        <f>'Thang_10'!O31+G31</f>
        <v/>
      </c>
      <c r="P31" s="28">
        <f>'Thang_10'!P31+H31</f>
        <v/>
      </c>
      <c r="Q31" s="28">
        <f>'Thang_10'!Q31+I31-J31</f>
        <v/>
      </c>
      <c r="R31" s="28">
        <f>'Thang_10'!R31+K31</f>
        <v/>
      </c>
    </row>
    <row r="32" ht="20" customHeight="1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/>
      <c r="E32" s="29">
        <f>IF(D32&gt;0, F32/D32, 0)</f>
        <v/>
      </c>
      <c r="F32" s="28" t="n"/>
      <c r="G32" s="28" t="n"/>
      <c r="H32" s="28" t="n"/>
      <c r="I32" s="28" t="n"/>
      <c r="J32" s="28" t="n"/>
      <c r="K32" s="28">
        <f>F32+G32-H32+I32-J32</f>
        <v/>
      </c>
      <c r="L32" s="28">
        <f>'Thang_10'!L32+D32</f>
        <v/>
      </c>
      <c r="M32" s="29">
        <f>IF(L32&gt;0, N32/L32, 0)</f>
        <v/>
      </c>
      <c r="N32" s="28">
        <f>'Thang_10'!N32+F32</f>
        <v/>
      </c>
      <c r="O32" s="28">
        <f>'Thang_10'!O32+G32</f>
        <v/>
      </c>
      <c r="P32" s="28">
        <f>'Thang_10'!P32+H32</f>
        <v/>
      </c>
      <c r="Q32" s="28">
        <f>'Thang_10'!Q32+I32-J32</f>
        <v/>
      </c>
      <c r="R32" s="28">
        <f>'Thang_10'!R32+K32</f>
        <v/>
      </c>
    </row>
    <row r="33" ht="20" customHeight="1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/>
      <c r="E33" s="29">
        <f>IF(D33&gt;0, F33/D33, 0)</f>
        <v/>
      </c>
      <c r="F33" s="28" t="n"/>
      <c r="G33" s="28" t="n"/>
      <c r="H33" s="28" t="n"/>
      <c r="I33" s="28" t="n"/>
      <c r="J33" s="28" t="n"/>
      <c r="K33" s="28">
        <f>F33+G33-H33+I33-J33</f>
        <v/>
      </c>
      <c r="L33" s="28">
        <f>'Thang_10'!L33+D33</f>
        <v/>
      </c>
      <c r="M33" s="29">
        <f>IF(L33&gt;0, N33/L33, 0)</f>
        <v/>
      </c>
      <c r="N33" s="28">
        <f>'Thang_10'!N33+F33</f>
        <v/>
      </c>
      <c r="O33" s="28">
        <f>'Thang_10'!O33+G33</f>
        <v/>
      </c>
      <c r="P33" s="28">
        <f>'Thang_10'!P33+H33</f>
        <v/>
      </c>
      <c r="Q33" s="28">
        <f>'Thang_10'!Q33+I33-J33</f>
        <v/>
      </c>
      <c r="R33" s="28">
        <f>'Thang_10'!R33+K33</f>
        <v/>
      </c>
    </row>
    <row r="34" ht="20" customHeight="1">
      <c r="A34" s="20" t="inlineStr">
        <is>
          <t>5.2</t>
        </is>
      </c>
      <c r="B34" s="21" t="inlineStr">
        <is>
          <t xml:space="preserve">  Xesco - KD</t>
        </is>
      </c>
      <c r="C34" s="22" t="inlineStr"/>
      <c r="D34" s="23" t="n"/>
      <c r="E34" s="24">
        <f>IF(D34&gt;0, F34/D34, 0)</f>
        <v/>
      </c>
      <c r="F34" s="23" t="n"/>
      <c r="G34" s="23" t="n"/>
      <c r="H34" s="23" t="n"/>
      <c r="I34" s="23" t="n"/>
      <c r="J34" s="23" t="n"/>
      <c r="K34" s="23">
        <f>F34+G34-H34+I34-J34</f>
        <v/>
      </c>
      <c r="L34" s="23">
        <f>'Thang_10'!L34+D34</f>
        <v/>
      </c>
      <c r="M34" s="24">
        <f>IF(L34&gt;0, N34/L34, 0)</f>
        <v/>
      </c>
      <c r="N34" s="23">
        <f>'Thang_10'!N34+F34</f>
        <v/>
      </c>
      <c r="O34" s="23">
        <f>'Thang_10'!O34+G34</f>
        <v/>
      </c>
      <c r="P34" s="23">
        <f>'Thang_10'!P34+H34</f>
        <v/>
      </c>
      <c r="Q34" s="23">
        <f>'Thang_10'!Q34+I34-J34</f>
        <v/>
      </c>
      <c r="R34" s="23">
        <f>'Thang_10'!R34+K34</f>
        <v/>
      </c>
    </row>
    <row r="35" ht="20" customHeight="1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/>
      <c r="E35" s="29">
        <f>IF(D35&gt;0, F35/D35, 0)</f>
        <v/>
      </c>
      <c r="F35" s="28" t="n"/>
      <c r="G35" s="28" t="n"/>
      <c r="H35" s="28" t="n"/>
      <c r="I35" s="28" t="n"/>
      <c r="J35" s="28" t="n"/>
      <c r="K35" s="28">
        <f>F35+G35-H35+I35-J35</f>
        <v/>
      </c>
      <c r="L35" s="28">
        <f>'Thang_10'!L35+D35</f>
        <v/>
      </c>
      <c r="M35" s="29">
        <f>IF(L35&gt;0, N35/L35, 0)</f>
        <v/>
      </c>
      <c r="N35" s="28">
        <f>'Thang_10'!N35+F35</f>
        <v/>
      </c>
      <c r="O35" s="28">
        <f>'Thang_10'!O35+G35</f>
        <v/>
      </c>
      <c r="P35" s="28">
        <f>'Thang_10'!P35+H35</f>
        <v/>
      </c>
      <c r="Q35" s="28">
        <f>'Thang_10'!Q35+I35-J35</f>
        <v/>
      </c>
      <c r="R35" s="28">
        <f>'Thang_10'!R35+K35</f>
        <v/>
      </c>
    </row>
    <row r="36" ht="20" customHeight="1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/>
      <c r="E36" s="29">
        <f>IF(D36&gt;0, F36/D36, 0)</f>
        <v/>
      </c>
      <c r="F36" s="28" t="n"/>
      <c r="G36" s="28" t="n"/>
      <c r="H36" s="28" t="n"/>
      <c r="I36" s="28" t="n"/>
      <c r="J36" s="28" t="n"/>
      <c r="K36" s="28">
        <f>F36+G36-H36+I36-J36</f>
        <v/>
      </c>
      <c r="L36" s="28">
        <f>'Thang_10'!L36+D36</f>
        <v/>
      </c>
      <c r="M36" s="29">
        <f>IF(L36&gt;0, N36/L36, 0)</f>
        <v/>
      </c>
      <c r="N36" s="28">
        <f>'Thang_10'!N36+F36</f>
        <v/>
      </c>
      <c r="O36" s="28">
        <f>'Thang_10'!O36+G36</f>
        <v/>
      </c>
      <c r="P36" s="28">
        <f>'Thang_10'!P36+H36</f>
        <v/>
      </c>
      <c r="Q36" s="28">
        <f>'Thang_10'!Q36+I36-J36</f>
        <v/>
      </c>
      <c r="R36" s="28">
        <f>'Thang_10'!R36+K36</f>
        <v/>
      </c>
    </row>
    <row r="37" ht="20" customHeight="1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/>
      <c r="E37" s="29">
        <f>IF(D37&gt;0, F37/D37, 0)</f>
        <v/>
      </c>
      <c r="F37" s="28" t="n"/>
      <c r="G37" s="28" t="n"/>
      <c r="H37" s="28" t="n"/>
      <c r="I37" s="28" t="n"/>
      <c r="J37" s="28" t="n"/>
      <c r="K37" s="28">
        <f>F37+G37-H37+I37-J37</f>
        <v/>
      </c>
      <c r="L37" s="28">
        <f>'Thang_10'!L37+D37</f>
        <v/>
      </c>
      <c r="M37" s="29">
        <f>IF(L37&gt;0, N37/L37, 0)</f>
        <v/>
      </c>
      <c r="N37" s="28">
        <f>'Thang_10'!N37+F37</f>
        <v/>
      </c>
      <c r="O37" s="28">
        <f>'Thang_10'!O37+G37</f>
        <v/>
      </c>
      <c r="P37" s="28">
        <f>'Thang_10'!P37+H37</f>
        <v/>
      </c>
      <c r="Q37" s="28">
        <f>'Thang_10'!Q37+I37-J37</f>
        <v/>
      </c>
      <c r="R37" s="28">
        <f>'Thang_10'!R37+K37</f>
        <v/>
      </c>
    </row>
    <row r="38" ht="20" customHeight="1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/>
      <c r="E38" s="29">
        <f>IF(D38&gt;0, F38/D38, 0)</f>
        <v/>
      </c>
      <c r="F38" s="28" t="n"/>
      <c r="G38" s="28" t="n"/>
      <c r="H38" s="28" t="n"/>
      <c r="I38" s="28" t="n"/>
      <c r="J38" s="28" t="n"/>
      <c r="K38" s="28">
        <f>F38+G38-H38+I38-J38</f>
        <v/>
      </c>
      <c r="L38" s="28">
        <f>'Thang_10'!L38+D38</f>
        <v/>
      </c>
      <c r="M38" s="29">
        <f>IF(L38&gt;0, N38/L38, 0)</f>
        <v/>
      </c>
      <c r="N38" s="28">
        <f>'Thang_10'!N38+F38</f>
        <v/>
      </c>
      <c r="O38" s="28">
        <f>'Thang_10'!O38+G38</f>
        <v/>
      </c>
      <c r="P38" s="28">
        <f>'Thang_10'!P38+H38</f>
        <v/>
      </c>
      <c r="Q38" s="28">
        <f>'Thang_10'!Q38+I38-J38</f>
        <v/>
      </c>
      <c r="R38" s="28">
        <f>'Thang_10'!R38+K38</f>
        <v/>
      </c>
    </row>
    <row r="39" ht="20" customHeight="1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/>
      <c r="E39" s="29">
        <f>IF(D39&gt;0, F39/D39, 0)</f>
        <v/>
      </c>
      <c r="F39" s="28" t="n"/>
      <c r="G39" s="28" t="n"/>
      <c r="H39" s="28" t="n"/>
      <c r="I39" s="28" t="n"/>
      <c r="J39" s="28" t="n"/>
      <c r="K39" s="28">
        <f>F39+G39-H39+I39-J39</f>
        <v/>
      </c>
      <c r="L39" s="28">
        <f>'Thang_10'!L39+D39</f>
        <v/>
      </c>
      <c r="M39" s="29">
        <f>IF(L39&gt;0, N39/L39, 0)</f>
        <v/>
      </c>
      <c r="N39" s="28">
        <f>'Thang_10'!N39+F39</f>
        <v/>
      </c>
      <c r="O39" s="28">
        <f>'Thang_10'!O39+G39</f>
        <v/>
      </c>
      <c r="P39" s="28">
        <f>'Thang_10'!P39+H39</f>
        <v/>
      </c>
      <c r="Q39" s="28">
        <f>'Thang_10'!Q39+I39-J39</f>
        <v/>
      </c>
      <c r="R39" s="28">
        <f>'Thang_10'!R39+K39</f>
        <v/>
      </c>
    </row>
    <row r="40" ht="20" customHeight="1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8" t="n"/>
      <c r="E40" s="29">
        <f>IF(D40&gt;0, F40/D40, 0)</f>
        <v/>
      </c>
      <c r="F40" s="28" t="n"/>
      <c r="G40" s="28" t="n"/>
      <c r="H40" s="28" t="n"/>
      <c r="I40" s="28" t="n"/>
      <c r="J40" s="28" t="n"/>
      <c r="K40" s="28">
        <f>F40+G40-H40+I40-J40</f>
        <v/>
      </c>
      <c r="L40" s="28">
        <f>'Thang_10'!L40+D40</f>
        <v/>
      </c>
      <c r="M40" s="29">
        <f>IF(L40&gt;0, N40/L40, 0)</f>
        <v/>
      </c>
      <c r="N40" s="28">
        <f>'Thang_10'!N40+F40</f>
        <v/>
      </c>
      <c r="O40" s="28">
        <f>'Thang_10'!O40+G40</f>
        <v/>
      </c>
      <c r="P40" s="28">
        <f>'Thang_10'!P40+H40</f>
        <v/>
      </c>
      <c r="Q40" s="28">
        <f>'Thang_10'!Q40+I40-J40</f>
        <v/>
      </c>
      <c r="R40" s="28">
        <f>'Thang_10'!R40+K40</f>
        <v/>
      </c>
    </row>
    <row r="41" ht="20" customHeight="1">
      <c r="A41" s="10" t="inlineStr">
        <is>
          <t>II</t>
        </is>
      </c>
      <c r="B41" s="11" t="inlineStr">
        <is>
          <t>VPS MIỀN TRUNG</t>
        </is>
      </c>
      <c r="C41" s="12" t="n">
        <v>3000</v>
      </c>
      <c r="D41" s="13" t="n"/>
      <c r="E41" s="14">
        <f>IF(D41&gt;0, F41/D41, 0)</f>
        <v/>
      </c>
      <c r="F41" s="13" t="n"/>
      <c r="G41" s="13" t="n"/>
      <c r="H41" s="13" t="n"/>
      <c r="I41" s="13" t="n"/>
      <c r="J41" s="13" t="n"/>
      <c r="K41" s="13">
        <f>F41+G41-H41+I41-J41</f>
        <v/>
      </c>
      <c r="L41" s="13">
        <f>'Thang_10'!L41+D41</f>
        <v/>
      </c>
      <c r="M41" s="14">
        <f>IF(L41&gt;0, N41/L41, 0)</f>
        <v/>
      </c>
      <c r="N41" s="13">
        <f>'Thang_10'!N41+F41</f>
        <v/>
      </c>
      <c r="O41" s="13">
        <f>'Thang_10'!O41+G41</f>
        <v/>
      </c>
      <c r="P41" s="13">
        <f>'Thang_10'!P41+H41</f>
        <v/>
      </c>
      <c r="Q41" s="13">
        <f>'Thang_10'!Q41+I41-J41</f>
        <v/>
      </c>
      <c r="R41" s="13">
        <f>'Thang_10'!R41+K41</f>
        <v/>
      </c>
    </row>
    <row r="42" ht="20" customHeight="1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/>
      <c r="E42" s="29">
        <f>IF(D42&gt;0, F42/D42, 0)</f>
        <v/>
      </c>
      <c r="F42" s="28" t="n"/>
      <c r="G42" s="28" t="n"/>
      <c r="H42" s="28" t="n"/>
      <c r="I42" s="28" t="n"/>
      <c r="J42" s="28" t="n"/>
      <c r="K42" s="28">
        <f>F42+G42-H42+I42-J42</f>
        <v/>
      </c>
      <c r="L42" s="28">
        <f>'Thang_10'!L42+D42</f>
        <v/>
      </c>
      <c r="M42" s="29">
        <f>IF(L42&gt;0, N42/L42, 0)</f>
        <v/>
      </c>
      <c r="N42" s="28">
        <f>'Thang_10'!N42+F42</f>
        <v/>
      </c>
      <c r="O42" s="28">
        <f>'Thang_10'!O42+G42</f>
        <v/>
      </c>
      <c r="P42" s="28">
        <f>'Thang_10'!P42+H42</f>
        <v/>
      </c>
      <c r="Q42" s="28">
        <f>'Thang_10'!Q42+I42-J42</f>
        <v/>
      </c>
      <c r="R42" s="28">
        <f>'Thang_10'!R42+K42</f>
        <v/>
      </c>
    </row>
    <row r="43" ht="20" customHeight="1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/>
      <c r="E43" s="29">
        <f>IF(D43&gt;0, F43/D43, 0)</f>
        <v/>
      </c>
      <c r="F43" s="28" t="n"/>
      <c r="G43" s="28" t="n"/>
      <c r="H43" s="28" t="n"/>
      <c r="I43" s="28" t="n"/>
      <c r="J43" s="28" t="n"/>
      <c r="K43" s="28">
        <f>F43+G43-H43+I43-J43</f>
        <v/>
      </c>
      <c r="L43" s="28">
        <f>'Thang_10'!L43+D43</f>
        <v/>
      </c>
      <c r="M43" s="29">
        <f>IF(L43&gt;0, N43/L43, 0)</f>
        <v/>
      </c>
      <c r="N43" s="28">
        <f>'Thang_10'!N43+F43</f>
        <v/>
      </c>
      <c r="O43" s="28">
        <f>'Thang_10'!O43+G43</f>
        <v/>
      </c>
      <c r="P43" s="28">
        <f>'Thang_10'!P43+H43</f>
        <v/>
      </c>
      <c r="Q43" s="28">
        <f>'Thang_10'!Q43+I43-J43</f>
        <v/>
      </c>
      <c r="R43" s="28">
        <f>'Thang_10'!R43+K43</f>
        <v/>
      </c>
    </row>
    <row r="44" ht="20" customHeight="1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/>
      <c r="E44" s="29">
        <f>IF(D44&gt;0, F44/D44, 0)</f>
        <v/>
      </c>
      <c r="F44" s="28" t="n"/>
      <c r="G44" s="28" t="n"/>
      <c r="H44" s="28" t="n"/>
      <c r="I44" s="28" t="n"/>
      <c r="J44" s="28" t="n"/>
      <c r="K44" s="28">
        <f>F44+G44-H44+I44-J44</f>
        <v/>
      </c>
      <c r="L44" s="28">
        <f>'Thang_10'!L44+D44</f>
        <v/>
      </c>
      <c r="M44" s="29">
        <f>IF(L44&gt;0, N44/L44, 0)</f>
        <v/>
      </c>
      <c r="N44" s="28">
        <f>'Thang_10'!N44+F44</f>
        <v/>
      </c>
      <c r="O44" s="28">
        <f>'Thang_10'!O44+G44</f>
        <v/>
      </c>
      <c r="P44" s="28">
        <f>'Thang_10'!P44+H44</f>
        <v/>
      </c>
      <c r="Q44" s="28">
        <f>'Thang_10'!Q44+I44-J44</f>
        <v/>
      </c>
      <c r="R44" s="28">
        <f>'Thang_10'!R44+K44</f>
        <v/>
      </c>
    </row>
    <row r="45" ht="20" customHeight="1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/>
      <c r="E45" s="29">
        <f>IF(D45&gt;0, F45/D45, 0)</f>
        <v/>
      </c>
      <c r="F45" s="28" t="n"/>
      <c r="G45" s="28" t="n"/>
      <c r="H45" s="28" t="n"/>
      <c r="I45" s="28" t="n"/>
      <c r="J45" s="28" t="n"/>
      <c r="K45" s="28">
        <f>F45+G45-H45+I45-J45</f>
        <v/>
      </c>
      <c r="L45" s="28">
        <f>'Thang_10'!L45+D45</f>
        <v/>
      </c>
      <c r="M45" s="29">
        <f>IF(L45&gt;0, N45/L45, 0)</f>
        <v/>
      </c>
      <c r="N45" s="28">
        <f>'Thang_10'!N45+F45</f>
        <v/>
      </c>
      <c r="O45" s="28">
        <f>'Thang_10'!O45+G45</f>
        <v/>
      </c>
      <c r="P45" s="28">
        <f>'Thang_10'!P45+H45</f>
        <v/>
      </c>
      <c r="Q45" s="28">
        <f>'Thang_10'!Q45+I45-J45</f>
        <v/>
      </c>
      <c r="R45" s="28">
        <f>'Thang_10'!R45+K45</f>
        <v/>
      </c>
    </row>
    <row r="46" ht="20" customHeight="1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/>
      <c r="E46" s="29">
        <f>IF(D46&gt;0, F46/D46, 0)</f>
        <v/>
      </c>
      <c r="F46" s="28" t="n"/>
      <c r="G46" s="28" t="n"/>
      <c r="H46" s="28" t="n"/>
      <c r="I46" s="28" t="n"/>
      <c r="J46" s="28" t="n"/>
      <c r="K46" s="28">
        <f>F46+G46-H46+I46-J46</f>
        <v/>
      </c>
      <c r="L46" s="28">
        <f>'Thang_10'!L46+D46</f>
        <v/>
      </c>
      <c r="M46" s="29">
        <f>IF(L46&gt;0, N46/L46, 0)</f>
        <v/>
      </c>
      <c r="N46" s="28">
        <f>'Thang_10'!N46+F46</f>
        <v/>
      </c>
      <c r="O46" s="28">
        <f>'Thang_10'!O46+G46</f>
        <v/>
      </c>
      <c r="P46" s="28">
        <f>'Thang_10'!P46+H46</f>
        <v/>
      </c>
      <c r="Q46" s="28">
        <f>'Thang_10'!Q46+I46-J46</f>
        <v/>
      </c>
      <c r="R46" s="28">
        <f>'Thang_10'!R46+K46</f>
        <v/>
      </c>
    </row>
    <row r="47" ht="20" customHeight="1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/>
      <c r="E47" s="29">
        <f>IF(D47&gt;0, F47/D47, 0)</f>
        <v/>
      </c>
      <c r="F47" s="28" t="n"/>
      <c r="G47" s="28" t="n"/>
      <c r="H47" s="28" t="n"/>
      <c r="I47" s="28" t="n"/>
      <c r="J47" s="28" t="n"/>
      <c r="K47" s="28">
        <f>F47+G47-H47+I47-J47</f>
        <v/>
      </c>
      <c r="L47" s="28">
        <f>'Thang_10'!L47+D47</f>
        <v/>
      </c>
      <c r="M47" s="29">
        <f>IF(L47&gt;0, N47/L47, 0)</f>
        <v/>
      </c>
      <c r="N47" s="28">
        <f>'Thang_10'!N47+F47</f>
        <v/>
      </c>
      <c r="O47" s="28">
        <f>'Thang_10'!O47+G47</f>
        <v/>
      </c>
      <c r="P47" s="28">
        <f>'Thang_10'!P47+H47</f>
        <v/>
      </c>
      <c r="Q47" s="28">
        <f>'Thang_10'!Q47+I47-J47</f>
        <v/>
      </c>
      <c r="R47" s="28">
        <f>'Thang_10'!R47+K47</f>
        <v/>
      </c>
    </row>
    <row r="48" ht="20" customHeight="1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/>
      <c r="E48" s="29">
        <f>IF(D48&gt;0, F48/D48, 0)</f>
        <v/>
      </c>
      <c r="F48" s="28" t="n"/>
      <c r="G48" s="28" t="n"/>
      <c r="H48" s="28" t="n"/>
      <c r="I48" s="28" t="n"/>
      <c r="J48" s="28" t="n"/>
      <c r="K48" s="28">
        <f>F48+G48-H48+I48-J48</f>
        <v/>
      </c>
      <c r="L48" s="28">
        <f>'Thang_10'!L48+D48</f>
        <v/>
      </c>
      <c r="M48" s="29">
        <f>IF(L48&gt;0, N48/L48, 0)</f>
        <v/>
      </c>
      <c r="N48" s="28">
        <f>'Thang_10'!N48+F48</f>
        <v/>
      </c>
      <c r="O48" s="28">
        <f>'Thang_10'!O48+G48</f>
        <v/>
      </c>
      <c r="P48" s="28">
        <f>'Thang_10'!P48+H48</f>
        <v/>
      </c>
      <c r="Q48" s="28">
        <f>'Thang_10'!Q48+I48-J48</f>
        <v/>
      </c>
      <c r="R48" s="28">
        <f>'Thang_10'!R48+K48</f>
        <v/>
      </c>
    </row>
    <row r="49" ht="20" customHeight="1">
      <c r="A49" s="30" t="inlineStr">
        <is>
          <t>★</t>
        </is>
      </c>
      <c r="B49" s="31" t="inlineStr">
        <is>
          <t>TỔNG CỘNG TOÀN TẬP ĐOÀN</t>
        </is>
      </c>
      <c r="C49" s="32" t="n">
        <v>93000</v>
      </c>
      <c r="D49" s="33" t="n"/>
      <c r="E49" s="34">
        <f>IF(D49&gt;0, F49/D49, 0)</f>
        <v/>
      </c>
      <c r="F49" s="33" t="n"/>
      <c r="G49" s="33" t="n"/>
      <c r="H49" s="33" t="n"/>
      <c r="I49" s="33" t="n"/>
      <c r="J49" s="33" t="n"/>
      <c r="K49" s="33">
        <f>F49+G49-H49+I49-J49</f>
        <v/>
      </c>
      <c r="L49" s="33">
        <f>'Thang_10'!L49+D49</f>
        <v/>
      </c>
      <c r="M49" s="34">
        <f>IF(L49&gt;0, N49/L49, 0)</f>
        <v/>
      </c>
      <c r="N49" s="33">
        <f>'Thang_10'!N49+F49</f>
        <v/>
      </c>
      <c r="O49" s="33">
        <f>'Thang_10'!O49+G49</f>
        <v/>
      </c>
      <c r="P49" s="33">
        <f>'Thang_10'!P49+H49</f>
        <v/>
      </c>
      <c r="Q49" s="33">
        <f>'Thang_10'!Q49+I49-J49</f>
        <v/>
      </c>
      <c r="R49" s="33">
        <f>'Thang_10'!R49+K49</f>
        <v/>
      </c>
    </row>
  </sheetData>
  <mergeCells count="7">
    <mergeCell ref="D3:K3"/>
    <mergeCell ref="A2:R2"/>
    <mergeCell ref="C3:C4"/>
    <mergeCell ref="B3:B4"/>
    <mergeCell ref="A3:A4"/>
    <mergeCell ref="L3:R3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9" customWidth="1" min="5" max="5"/>
    <col width="11" customWidth="1" min="6" max="6"/>
    <col width="9" customWidth="1" min="7" max="7"/>
    <col width="11" customWidth="1" min="8" max="8"/>
    <col width="10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9" customWidth="1" min="15" max="15"/>
    <col width="12" customWidth="1" min="16" max="16"/>
    <col width="11" customWidth="1" min="17" max="17"/>
    <col width="13" customWidth="1" min="18" max="18"/>
  </cols>
  <sheetData>
    <row r="1" ht="28" customHeight="1">
      <c r="A1" s="1" t="inlineStr">
        <is>
          <t>BÁO CÁO KẾT QUẢ HOẠT ĐỘNG KINH DOANH - THÁNG 12/2026</t>
        </is>
      </c>
    </row>
    <row r="2" ht="18" customHeight="1">
      <c r="A2" s="2" t="inlineStr">
        <is>
          <t>Đơn vị tính: Triệu đồng (Tr.đ) | Tự động cộng dồn lũy kế kế thừa Tháng 11 | Đồng bộ trực tiếp Dashboard VPS Group</t>
        </is>
      </c>
    </row>
    <row r="3" ht="24" customHeight="1">
      <c r="A3" s="3" t="inlineStr">
        <is>
          <t>TT</t>
        </is>
      </c>
      <c r="B3" s="4" t="inlineStr">
        <is>
          <t>NỘI DUNG / ĐƠN VỊ KINH DOANH</t>
        </is>
      </c>
      <c r="C3" s="3" t="inlineStr">
        <is>
          <t>VỐN ĐT</t>
        </is>
      </c>
      <c r="D3" s="5" t="inlineStr">
        <is>
          <t>PHÁT SINH THÁNG 12/2026</t>
        </is>
      </c>
      <c r="E3" s="6" t="n"/>
      <c r="F3" s="6" t="n"/>
      <c r="G3" s="6" t="n"/>
      <c r="H3" s="6" t="n"/>
      <c r="I3" s="6" t="n"/>
      <c r="J3" s="6" t="n"/>
      <c r="K3" s="6" t="n"/>
      <c r="L3" s="7" t="inlineStr">
        <is>
          <t>LŨY KẾ ĐẾN HẾT THÁNG 12/2026</t>
        </is>
      </c>
      <c r="M3" s="6" t="n"/>
      <c r="N3" s="6" t="n"/>
      <c r="O3" s="6" t="n"/>
      <c r="P3" s="6" t="n"/>
      <c r="Q3" s="6" t="n"/>
      <c r="R3" s="6" t="n"/>
    </row>
    <row r="4" ht="24" customHeight="1">
      <c r="A4" s="6" t="n"/>
      <c r="B4" s="6" t="n"/>
      <c r="C4" s="6" t="n"/>
      <c r="D4" s="8" t="inlineStr">
        <is>
          <t>DS</t>
        </is>
      </c>
      <c r="E4" s="8" t="inlineStr">
        <is>
          <t>% LG</t>
        </is>
      </c>
      <c r="F4" s="8" t="inlineStr">
        <is>
          <t>LG</t>
        </is>
      </c>
      <c r="G4" s="8" t="inlineStr">
        <is>
          <t>HT LG</t>
        </is>
      </c>
      <c r="H4" s="8" t="inlineStr">
        <is>
          <t>CHI PHÍ</t>
        </is>
      </c>
      <c r="I4" s="8" t="inlineStr">
        <is>
          <t>TN KHÁC</t>
        </is>
      </c>
      <c r="J4" s="8" t="inlineStr">
        <is>
          <t>CP KHÁC</t>
        </is>
      </c>
      <c r="K4" s="8" t="inlineStr">
        <is>
          <t>LNTT</t>
        </is>
      </c>
      <c r="L4" s="9" t="inlineStr">
        <is>
          <t>DS</t>
        </is>
      </c>
      <c r="M4" s="9" t="inlineStr">
        <is>
          <t>% LG</t>
        </is>
      </c>
      <c r="N4" s="9" t="inlineStr">
        <is>
          <t>LG</t>
        </is>
      </c>
      <c r="O4" s="9" t="inlineStr">
        <is>
          <t>HT LG</t>
        </is>
      </c>
      <c r="P4" s="9" t="inlineStr">
        <is>
          <t>CHI PHÍ</t>
        </is>
      </c>
      <c r="Q4" s="9" t="inlineStr">
        <is>
          <t>TN KHÁC</t>
        </is>
      </c>
      <c r="R4" s="9" t="inlineStr">
        <is>
          <t>LNTT</t>
        </is>
      </c>
    </row>
    <row r="5" ht="20" customHeight="1">
      <c r="A5" s="10" t="inlineStr">
        <is>
          <t>I</t>
        </is>
      </c>
      <c r="B5" s="11" t="inlineStr">
        <is>
          <t>MIỀN BẮC</t>
        </is>
      </c>
      <c r="C5" s="12" t="n">
        <v>90000</v>
      </c>
      <c r="D5" s="13" t="n"/>
      <c r="E5" s="14">
        <f>IF(D5&gt;0, F5/D5, 0)</f>
        <v/>
      </c>
      <c r="F5" s="13" t="n"/>
      <c r="G5" s="13" t="n"/>
      <c r="H5" s="13" t="n"/>
      <c r="I5" s="13" t="n"/>
      <c r="J5" s="13" t="n"/>
      <c r="K5" s="13">
        <f>F5+G5-H5+I5-J5</f>
        <v/>
      </c>
      <c r="L5" s="13">
        <f>'Thang_11'!L5+D5</f>
        <v/>
      </c>
      <c r="M5" s="14">
        <f>IF(L5&gt;0, N5/L5, 0)</f>
        <v/>
      </c>
      <c r="N5" s="13">
        <f>'Thang_11'!N5+F5</f>
        <v/>
      </c>
      <c r="O5" s="13">
        <f>'Thang_11'!O5+G5</f>
        <v/>
      </c>
      <c r="P5" s="13">
        <f>'Thang_11'!P5+H5</f>
        <v/>
      </c>
      <c r="Q5" s="13">
        <f>'Thang_11'!Q5+I5-J5</f>
        <v/>
      </c>
      <c r="R5" s="13">
        <f>'Thang_11'!R5+K5</f>
        <v/>
      </c>
    </row>
    <row r="6" ht="20" customHeight="1">
      <c r="A6" s="15" t="inlineStr">
        <is>
          <t>1</t>
        </is>
      </c>
      <c r="B6" s="16" t="inlineStr">
        <is>
          <t>THH (Tân Hồng Hà)</t>
        </is>
      </c>
      <c r="C6" s="17" t="n">
        <v>50000</v>
      </c>
      <c r="D6" s="18" t="n"/>
      <c r="E6" s="19">
        <f>IF(D6&gt;0, F6/D6, 0)</f>
        <v/>
      </c>
      <c r="F6" s="18" t="n"/>
      <c r="G6" s="18" t="n"/>
      <c r="H6" s="18" t="n"/>
      <c r="I6" s="18" t="n"/>
      <c r="J6" s="18" t="n"/>
      <c r="K6" s="18">
        <f>F6+G6-H6+I6-J6</f>
        <v/>
      </c>
      <c r="L6" s="18">
        <f>'Thang_11'!L6+D6</f>
        <v/>
      </c>
      <c r="M6" s="19">
        <f>IF(L6&gt;0, N6/L6, 0)</f>
        <v/>
      </c>
      <c r="N6" s="18">
        <f>'Thang_11'!N6+F6</f>
        <v/>
      </c>
      <c r="O6" s="18">
        <f>'Thang_11'!O6+G6</f>
        <v/>
      </c>
      <c r="P6" s="18">
        <f>'Thang_11'!P6+H6</f>
        <v/>
      </c>
      <c r="Q6" s="18">
        <f>'Thang_11'!Q6+I6-J6</f>
        <v/>
      </c>
      <c r="R6" s="18">
        <f>'Thang_11'!R6+K6</f>
        <v/>
      </c>
    </row>
    <row r="7" ht="20" customHeight="1">
      <c r="A7" s="20" t="inlineStr">
        <is>
          <t>a</t>
        </is>
      </c>
      <c r="B7" s="21" t="inlineStr">
        <is>
          <t xml:space="preserve">  Khối dịch vụ kỹ thuật</t>
        </is>
      </c>
      <c r="C7" s="22" t="inlineStr"/>
      <c r="D7" s="23" t="n"/>
      <c r="E7" s="24">
        <f>IF(D7&gt;0, F7/D7, 0)</f>
        <v/>
      </c>
      <c r="F7" s="23" t="n"/>
      <c r="G7" s="23" t="n"/>
      <c r="H7" s="23" t="n"/>
      <c r="I7" s="23" t="n"/>
      <c r="J7" s="23" t="n"/>
      <c r="K7" s="23">
        <f>F7+G7-H7+I7-J7</f>
        <v/>
      </c>
      <c r="L7" s="23">
        <f>'Thang_11'!L7+D7</f>
        <v/>
      </c>
      <c r="M7" s="24">
        <f>IF(L7&gt;0, N7/L7, 0)</f>
        <v/>
      </c>
      <c r="N7" s="23">
        <f>'Thang_11'!N7+F7</f>
        <v/>
      </c>
      <c r="O7" s="23">
        <f>'Thang_11'!O7+G7</f>
        <v/>
      </c>
      <c r="P7" s="23">
        <f>'Thang_11'!P7+H7</f>
        <v/>
      </c>
      <c r="Q7" s="23">
        <f>'Thang_11'!Q7+I7-J7</f>
        <v/>
      </c>
      <c r="R7" s="23">
        <f>'Thang_11'!R7+K7</f>
        <v/>
      </c>
    </row>
    <row r="8" ht="20" customHeight="1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/>
      <c r="E8" s="29">
        <f>IF(D8&gt;0, F8/D8, 0)</f>
        <v/>
      </c>
      <c r="F8" s="28" t="n"/>
      <c r="G8" s="28" t="n"/>
      <c r="H8" s="28" t="n"/>
      <c r="I8" s="28" t="n"/>
      <c r="J8" s="28" t="n"/>
      <c r="K8" s="28">
        <f>F8+G8-H8+I8-J8</f>
        <v/>
      </c>
      <c r="L8" s="28">
        <f>'Thang_11'!L8+D8</f>
        <v/>
      </c>
      <c r="M8" s="29">
        <f>IF(L8&gt;0, N8/L8, 0)</f>
        <v/>
      </c>
      <c r="N8" s="28">
        <f>'Thang_11'!N8+F8</f>
        <v/>
      </c>
      <c r="O8" s="28">
        <f>'Thang_11'!O8+G8</f>
        <v/>
      </c>
      <c r="P8" s="28">
        <f>'Thang_11'!P8+H8</f>
        <v/>
      </c>
      <c r="Q8" s="28">
        <f>'Thang_11'!Q8+I8-J8</f>
        <v/>
      </c>
      <c r="R8" s="28">
        <f>'Thang_11'!R8+K8</f>
        <v/>
      </c>
    </row>
    <row r="9" ht="20" customHeight="1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/>
      <c r="E9" s="29">
        <f>IF(D9&gt;0, F9/D9, 0)</f>
        <v/>
      </c>
      <c r="F9" s="28" t="n"/>
      <c r="G9" s="28" t="n"/>
      <c r="H9" s="28" t="n"/>
      <c r="I9" s="28" t="n"/>
      <c r="J9" s="28" t="n"/>
      <c r="K9" s="28">
        <f>F9+G9-H9+I9-J9</f>
        <v/>
      </c>
      <c r="L9" s="28">
        <f>'Thang_11'!L9+D9</f>
        <v/>
      </c>
      <c r="M9" s="29">
        <f>IF(L9&gt;0, N9/L9, 0)</f>
        <v/>
      </c>
      <c r="N9" s="28">
        <f>'Thang_11'!N9+F9</f>
        <v/>
      </c>
      <c r="O9" s="28">
        <f>'Thang_11'!O9+G9</f>
        <v/>
      </c>
      <c r="P9" s="28">
        <f>'Thang_11'!P9+H9</f>
        <v/>
      </c>
      <c r="Q9" s="28">
        <f>'Thang_11'!Q9+I9-J9</f>
        <v/>
      </c>
      <c r="R9" s="28">
        <f>'Thang_11'!R9+K9</f>
        <v/>
      </c>
    </row>
    <row r="10" ht="20" customHeight="1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/>
      <c r="E10" s="29">
        <f>IF(D10&gt;0, F10/D10, 0)</f>
        <v/>
      </c>
      <c r="F10" s="28" t="n"/>
      <c r="G10" s="28" t="n"/>
      <c r="H10" s="28" t="n"/>
      <c r="I10" s="28" t="n"/>
      <c r="J10" s="28" t="n"/>
      <c r="K10" s="28">
        <f>F10+G10-H10+I10-J10</f>
        <v/>
      </c>
      <c r="L10" s="28">
        <f>'Thang_11'!L10+D10</f>
        <v/>
      </c>
      <c r="M10" s="29">
        <f>IF(L10&gt;0, N10/L10, 0)</f>
        <v/>
      </c>
      <c r="N10" s="28">
        <f>'Thang_11'!N10+F10</f>
        <v/>
      </c>
      <c r="O10" s="28">
        <f>'Thang_11'!O10+G10</f>
        <v/>
      </c>
      <c r="P10" s="28">
        <f>'Thang_11'!P10+H10</f>
        <v/>
      </c>
      <c r="Q10" s="28">
        <f>'Thang_11'!Q10+I10-J10</f>
        <v/>
      </c>
      <c r="R10" s="28">
        <f>'Thang_11'!R10+K10</f>
        <v/>
      </c>
    </row>
    <row r="11" ht="20" customHeight="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/>
      <c r="E11" s="29">
        <f>IF(D11&gt;0, F11/D11, 0)</f>
        <v/>
      </c>
      <c r="F11" s="28" t="n"/>
      <c r="G11" s="28" t="n"/>
      <c r="H11" s="28" t="n"/>
      <c r="I11" s="28" t="n"/>
      <c r="J11" s="28" t="n"/>
      <c r="K11" s="28">
        <f>F11+G11-H11+I11-J11</f>
        <v/>
      </c>
      <c r="L11" s="28">
        <f>'Thang_11'!L11+D11</f>
        <v/>
      </c>
      <c r="M11" s="29">
        <f>IF(L11&gt;0, N11/L11, 0)</f>
        <v/>
      </c>
      <c r="N11" s="28">
        <f>'Thang_11'!N11+F11</f>
        <v/>
      </c>
      <c r="O11" s="28">
        <f>'Thang_11'!O11+G11</f>
        <v/>
      </c>
      <c r="P11" s="28">
        <f>'Thang_11'!P11+H11</f>
        <v/>
      </c>
      <c r="Q11" s="28">
        <f>'Thang_11'!Q11+I11-J11</f>
        <v/>
      </c>
      <c r="R11" s="28">
        <f>'Thang_11'!R11+K11</f>
        <v/>
      </c>
    </row>
    <row r="12" ht="20" customHeight="1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/>
      <c r="E12" s="29">
        <f>IF(D12&gt;0, F12/D12, 0)</f>
        <v/>
      </c>
      <c r="F12" s="28" t="n"/>
      <c r="G12" s="28" t="n"/>
      <c r="H12" s="28" t="n"/>
      <c r="I12" s="28" t="n"/>
      <c r="J12" s="28" t="n"/>
      <c r="K12" s="28">
        <f>F12+G12-H12+I12-J12</f>
        <v/>
      </c>
      <c r="L12" s="28">
        <f>'Thang_11'!L12+D12</f>
        <v/>
      </c>
      <c r="M12" s="29">
        <f>IF(L12&gt;0, N12/L12, 0)</f>
        <v/>
      </c>
      <c r="N12" s="28">
        <f>'Thang_11'!N12+F12</f>
        <v/>
      </c>
      <c r="O12" s="28">
        <f>'Thang_11'!O12+G12</f>
        <v/>
      </c>
      <c r="P12" s="28">
        <f>'Thang_11'!P12+H12</f>
        <v/>
      </c>
      <c r="Q12" s="28">
        <f>'Thang_11'!Q12+I12-J12</f>
        <v/>
      </c>
      <c r="R12" s="28">
        <f>'Thang_11'!R12+K12</f>
        <v/>
      </c>
    </row>
    <row r="13" ht="20" customHeight="1">
      <c r="A13" s="20" t="inlineStr">
        <is>
          <t>b</t>
        </is>
      </c>
      <c r="B13" s="21" t="inlineStr">
        <is>
          <t xml:space="preserve">  Kinh doanh tổng hợp</t>
        </is>
      </c>
      <c r="C13" s="22" t="inlineStr"/>
      <c r="D13" s="23" t="n"/>
      <c r="E13" s="24">
        <f>IF(D13&gt;0, F13/D13, 0)</f>
        <v/>
      </c>
      <c r="F13" s="23" t="n"/>
      <c r="G13" s="23" t="n"/>
      <c r="H13" s="23" t="n"/>
      <c r="I13" s="23" t="n"/>
      <c r="J13" s="23" t="n"/>
      <c r="K13" s="23">
        <f>F13+G13-H13+I13-J13</f>
        <v/>
      </c>
      <c r="L13" s="23">
        <f>'Thang_11'!L13+D13</f>
        <v/>
      </c>
      <c r="M13" s="24">
        <f>IF(L13&gt;0, N13/L13, 0)</f>
        <v/>
      </c>
      <c r="N13" s="23">
        <f>'Thang_11'!N13+F13</f>
        <v/>
      </c>
      <c r="O13" s="23">
        <f>'Thang_11'!O13+G13</f>
        <v/>
      </c>
      <c r="P13" s="23">
        <f>'Thang_11'!P13+H13</f>
        <v/>
      </c>
      <c r="Q13" s="23">
        <f>'Thang_11'!Q13+I13-J13</f>
        <v/>
      </c>
      <c r="R13" s="23">
        <f>'Thang_11'!R13+K13</f>
        <v/>
      </c>
    </row>
    <row r="14" ht="20" customHeight="1">
      <c r="A14" s="20" t="inlineStr">
        <is>
          <t>c</t>
        </is>
      </c>
      <c r="B14" s="21" t="inlineStr">
        <is>
          <t xml:space="preserve">  Kinh doanh bán buôn</t>
        </is>
      </c>
      <c r="C14" s="22" t="inlineStr"/>
      <c r="D14" s="23" t="n"/>
      <c r="E14" s="24">
        <f>IF(D14&gt;0, F14/D14, 0)</f>
        <v/>
      </c>
      <c r="F14" s="23" t="n"/>
      <c r="G14" s="23" t="n"/>
      <c r="H14" s="23" t="n"/>
      <c r="I14" s="23" t="n"/>
      <c r="J14" s="23" t="n"/>
      <c r="K14" s="23">
        <f>F14+G14-H14+I14-J14</f>
        <v/>
      </c>
      <c r="L14" s="23">
        <f>'Thang_11'!L14+D14</f>
        <v/>
      </c>
      <c r="M14" s="24">
        <f>IF(L14&gt;0, N14/L14, 0)</f>
        <v/>
      </c>
      <c r="N14" s="23">
        <f>'Thang_11'!N14+F14</f>
        <v/>
      </c>
      <c r="O14" s="23">
        <f>'Thang_11'!O14+G14</f>
        <v/>
      </c>
      <c r="P14" s="23">
        <f>'Thang_11'!P14+H14</f>
        <v/>
      </c>
      <c r="Q14" s="23">
        <f>'Thang_11'!Q14+I14-J14</f>
        <v/>
      </c>
      <c r="R14" s="23">
        <f>'Thang_11'!R14+K14</f>
        <v/>
      </c>
    </row>
    <row r="15" ht="20" customHeight="1">
      <c r="A15" s="20" t="inlineStr">
        <is>
          <t>d</t>
        </is>
      </c>
      <c r="B15" s="21" t="inlineStr">
        <is>
          <t xml:space="preserve">  Dự án</t>
        </is>
      </c>
      <c r="C15" s="22" t="inlineStr"/>
      <c r="D15" s="23" t="n"/>
      <c r="E15" s="24">
        <f>IF(D15&gt;0, F15/D15, 0)</f>
        <v/>
      </c>
      <c r="F15" s="23" t="n"/>
      <c r="G15" s="23" t="n"/>
      <c r="H15" s="23" t="n"/>
      <c r="I15" s="23" t="n"/>
      <c r="J15" s="23" t="n"/>
      <c r="K15" s="23">
        <f>F15+G15-H15+I15-J15</f>
        <v/>
      </c>
      <c r="L15" s="23">
        <f>'Thang_11'!L15+D15</f>
        <v/>
      </c>
      <c r="M15" s="24">
        <f>IF(L15&gt;0, N15/L15, 0)</f>
        <v/>
      </c>
      <c r="N15" s="23">
        <f>'Thang_11'!N15+F15</f>
        <v/>
      </c>
      <c r="O15" s="23">
        <f>'Thang_11'!O15+G15</f>
        <v/>
      </c>
      <c r="P15" s="23">
        <f>'Thang_11'!P15+H15</f>
        <v/>
      </c>
      <c r="Q15" s="23">
        <f>'Thang_11'!Q15+I15-J15</f>
        <v/>
      </c>
      <c r="R15" s="23">
        <f>'Thang_11'!R15+K15</f>
        <v/>
      </c>
    </row>
    <row r="16" ht="20" customHeight="1">
      <c r="A16" s="15" t="inlineStr">
        <is>
          <t>2</t>
        </is>
      </c>
      <c r="B16" s="16" t="inlineStr">
        <is>
          <t>Việt</t>
        </is>
      </c>
      <c r="C16" s="17" t="n">
        <v>10000</v>
      </c>
      <c r="D16" s="18" t="n"/>
      <c r="E16" s="19">
        <f>IF(D16&gt;0, F16/D16, 0)</f>
        <v/>
      </c>
      <c r="F16" s="18" t="n"/>
      <c r="G16" s="18" t="n"/>
      <c r="H16" s="18" t="n"/>
      <c r="I16" s="18" t="n"/>
      <c r="J16" s="18" t="n"/>
      <c r="K16" s="18">
        <f>F16+G16-H16+I16-J16</f>
        <v/>
      </c>
      <c r="L16" s="18">
        <f>'Thang_11'!L16+D16</f>
        <v/>
      </c>
      <c r="M16" s="19">
        <f>IF(L16&gt;0, N16/L16, 0)</f>
        <v/>
      </c>
      <c r="N16" s="18">
        <f>'Thang_11'!N16+F16</f>
        <v/>
      </c>
      <c r="O16" s="18">
        <f>'Thang_11'!O16+G16</f>
        <v/>
      </c>
      <c r="P16" s="18">
        <f>'Thang_11'!P16+H16</f>
        <v/>
      </c>
      <c r="Q16" s="18">
        <f>'Thang_11'!Q16+I16-J16</f>
        <v/>
      </c>
      <c r="R16" s="18">
        <f>'Thang_11'!R16+K16</f>
        <v/>
      </c>
    </row>
    <row r="17" ht="20" customHeight="1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/>
      <c r="E17" s="29">
        <f>IF(D17&gt;0, F17/D17, 0)</f>
        <v/>
      </c>
      <c r="F17" s="28" t="n"/>
      <c r="G17" s="28" t="n"/>
      <c r="H17" s="28" t="n"/>
      <c r="I17" s="28" t="n"/>
      <c r="J17" s="28" t="n"/>
      <c r="K17" s="28">
        <f>F17+G17-H17+I17-J17</f>
        <v/>
      </c>
      <c r="L17" s="28">
        <f>'Thang_11'!L17+D17</f>
        <v/>
      </c>
      <c r="M17" s="29">
        <f>IF(L17&gt;0, N17/L17, 0)</f>
        <v/>
      </c>
      <c r="N17" s="28">
        <f>'Thang_11'!N17+F17</f>
        <v/>
      </c>
      <c r="O17" s="28">
        <f>'Thang_11'!O17+G17</f>
        <v/>
      </c>
      <c r="P17" s="28">
        <f>'Thang_11'!P17+H17</f>
        <v/>
      </c>
      <c r="Q17" s="28">
        <f>'Thang_11'!Q17+I17-J17</f>
        <v/>
      </c>
      <c r="R17" s="28">
        <f>'Thang_11'!R17+K17</f>
        <v/>
      </c>
    </row>
    <row r="18" ht="20" customHeight="1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/>
      <c r="E18" s="29">
        <f>IF(D18&gt;0, F18/D18, 0)</f>
        <v/>
      </c>
      <c r="F18" s="28" t="n"/>
      <c r="G18" s="28" t="n"/>
      <c r="H18" s="28" t="n"/>
      <c r="I18" s="28" t="n"/>
      <c r="J18" s="28" t="n"/>
      <c r="K18" s="28">
        <f>F18+G18-H18+I18-J18</f>
        <v/>
      </c>
      <c r="L18" s="28">
        <f>'Thang_11'!L18+D18</f>
        <v/>
      </c>
      <c r="M18" s="29">
        <f>IF(L18&gt;0, N18/L18, 0)</f>
        <v/>
      </c>
      <c r="N18" s="28">
        <f>'Thang_11'!N18+F18</f>
        <v/>
      </c>
      <c r="O18" s="28">
        <f>'Thang_11'!O18+G18</f>
        <v/>
      </c>
      <c r="P18" s="28">
        <f>'Thang_11'!P18+H18</f>
        <v/>
      </c>
      <c r="Q18" s="28">
        <f>'Thang_11'!Q18+I18-J18</f>
        <v/>
      </c>
      <c r="R18" s="28">
        <f>'Thang_11'!R18+K18</f>
        <v/>
      </c>
    </row>
    <row r="19" ht="20" customHeight="1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/>
      <c r="E19" s="29">
        <f>IF(D19&gt;0, F19/D19, 0)</f>
        <v/>
      </c>
      <c r="F19" s="28" t="n"/>
      <c r="G19" s="28" t="n"/>
      <c r="H19" s="28" t="n"/>
      <c r="I19" s="28" t="n"/>
      <c r="J19" s="28" t="n"/>
      <c r="K19" s="28">
        <f>F19+G19-H19+I19-J19</f>
        <v/>
      </c>
      <c r="L19" s="28">
        <f>'Thang_11'!L19+D19</f>
        <v/>
      </c>
      <c r="M19" s="29">
        <f>IF(L19&gt;0, N19/L19, 0)</f>
        <v/>
      </c>
      <c r="N19" s="28">
        <f>'Thang_11'!N19+F19</f>
        <v/>
      </c>
      <c r="O19" s="28">
        <f>'Thang_11'!O19+G19</f>
        <v/>
      </c>
      <c r="P19" s="28">
        <f>'Thang_11'!P19+H19</f>
        <v/>
      </c>
      <c r="Q19" s="28">
        <f>'Thang_11'!Q19+I19-J19</f>
        <v/>
      </c>
      <c r="R19" s="28">
        <f>'Thang_11'!R19+K19</f>
        <v/>
      </c>
    </row>
    <row r="20" ht="20" customHeight="1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/>
      <c r="E20" s="29">
        <f>IF(D20&gt;0, F20/D20, 0)</f>
        <v/>
      </c>
      <c r="F20" s="28" t="n"/>
      <c r="G20" s="28" t="n"/>
      <c r="H20" s="28" t="n"/>
      <c r="I20" s="28" t="n"/>
      <c r="J20" s="28" t="n"/>
      <c r="K20" s="28">
        <f>F20+G20-H20+I20-J20</f>
        <v/>
      </c>
      <c r="L20" s="28">
        <f>'Thang_11'!L20+D20</f>
        <v/>
      </c>
      <c r="M20" s="29">
        <f>IF(L20&gt;0, N20/L20, 0)</f>
        <v/>
      </c>
      <c r="N20" s="28">
        <f>'Thang_11'!N20+F20</f>
        <v/>
      </c>
      <c r="O20" s="28">
        <f>'Thang_11'!O20+G20</f>
        <v/>
      </c>
      <c r="P20" s="28">
        <f>'Thang_11'!P20+H20</f>
        <v/>
      </c>
      <c r="Q20" s="28">
        <f>'Thang_11'!Q20+I20-J20</f>
        <v/>
      </c>
      <c r="R20" s="28">
        <f>'Thang_11'!R20+K20</f>
        <v/>
      </c>
    </row>
    <row r="21" ht="20" customHeight="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/>
      <c r="E21" s="29">
        <f>IF(D21&gt;0, F21/D21, 0)</f>
        <v/>
      </c>
      <c r="F21" s="28" t="n"/>
      <c r="G21" s="28" t="n"/>
      <c r="H21" s="28" t="n"/>
      <c r="I21" s="28" t="n"/>
      <c r="J21" s="28" t="n"/>
      <c r="K21" s="28">
        <f>F21+G21-H21+I21-J21</f>
        <v/>
      </c>
      <c r="L21" s="28">
        <f>'Thang_11'!L21+D21</f>
        <v/>
      </c>
      <c r="M21" s="29">
        <f>IF(L21&gt;0, N21/L21, 0)</f>
        <v/>
      </c>
      <c r="N21" s="28">
        <f>'Thang_11'!N21+F21</f>
        <v/>
      </c>
      <c r="O21" s="28">
        <f>'Thang_11'!O21+G21</f>
        <v/>
      </c>
      <c r="P21" s="28">
        <f>'Thang_11'!P21+H21</f>
        <v/>
      </c>
      <c r="Q21" s="28">
        <f>'Thang_11'!Q21+I21-J21</f>
        <v/>
      </c>
      <c r="R21" s="28">
        <f>'Thang_11'!R21+K21</f>
        <v/>
      </c>
    </row>
    <row r="22" ht="20" customHeight="1">
      <c r="A22" s="15" t="inlineStr">
        <is>
          <t>3</t>
        </is>
      </c>
      <c r="B22" s="16" t="inlineStr">
        <is>
          <t>ITSS</t>
        </is>
      </c>
      <c r="C22" s="17" t="n">
        <v>5000</v>
      </c>
      <c r="D22" s="18" t="n"/>
      <c r="E22" s="19">
        <f>IF(D22&gt;0, F22/D22, 0)</f>
        <v/>
      </c>
      <c r="F22" s="18" t="n"/>
      <c r="G22" s="18" t="n"/>
      <c r="H22" s="18" t="n"/>
      <c r="I22" s="18" t="n"/>
      <c r="J22" s="18" t="n"/>
      <c r="K22" s="18">
        <f>F22+G22-H22+I22-J22</f>
        <v/>
      </c>
      <c r="L22" s="18">
        <f>'Thang_11'!L22+D22</f>
        <v/>
      </c>
      <c r="M22" s="19">
        <f>IF(L22&gt;0, N22/L22, 0)</f>
        <v/>
      </c>
      <c r="N22" s="18">
        <f>'Thang_11'!N22+F22</f>
        <v/>
      </c>
      <c r="O22" s="18">
        <f>'Thang_11'!O22+G22</f>
        <v/>
      </c>
      <c r="P22" s="18">
        <f>'Thang_11'!P22+H22</f>
        <v/>
      </c>
      <c r="Q22" s="18">
        <f>'Thang_11'!Q22+I22-J22</f>
        <v/>
      </c>
      <c r="R22" s="18">
        <f>'Thang_11'!R22+K22</f>
        <v/>
      </c>
    </row>
    <row r="23" ht="20" customHeight="1">
      <c r="A23" s="15" t="inlineStr">
        <is>
          <t>4</t>
        </is>
      </c>
      <c r="B23" s="16" t="inlineStr">
        <is>
          <t>CTY VPS</t>
        </is>
      </c>
      <c r="C23" s="17" t="n">
        <v>10000</v>
      </c>
      <c r="D23" s="18" t="n"/>
      <c r="E23" s="19">
        <f>IF(D23&gt;0, F23/D23, 0)</f>
        <v/>
      </c>
      <c r="F23" s="18" t="n"/>
      <c r="G23" s="18" t="n"/>
      <c r="H23" s="18" t="n"/>
      <c r="I23" s="18" t="n"/>
      <c r="J23" s="18" t="n"/>
      <c r="K23" s="18">
        <f>F23+G23-H23+I23-J23</f>
        <v/>
      </c>
      <c r="L23" s="18">
        <f>'Thang_11'!L23+D23</f>
        <v/>
      </c>
      <c r="M23" s="19">
        <f>IF(L23&gt;0, N23/L23, 0)</f>
        <v/>
      </c>
      <c r="N23" s="18">
        <f>'Thang_11'!N23+F23</f>
        <v/>
      </c>
      <c r="O23" s="18">
        <f>'Thang_11'!O23+G23</f>
        <v/>
      </c>
      <c r="P23" s="18">
        <f>'Thang_11'!P23+H23</f>
        <v/>
      </c>
      <c r="Q23" s="18">
        <f>'Thang_11'!Q23+I23-J23</f>
        <v/>
      </c>
      <c r="R23" s="18">
        <f>'Thang_11'!R23+K23</f>
        <v/>
      </c>
    </row>
    <row r="24" ht="20" customHeight="1">
      <c r="A24" s="20" t="inlineStr">
        <is>
          <t>4.1</t>
        </is>
      </c>
      <c r="B24" s="21" t="inlineStr">
        <is>
          <t xml:space="preserve">  VP VPS - hoạt động KD</t>
        </is>
      </c>
      <c r="C24" s="22" t="inlineStr"/>
      <c r="D24" s="23" t="n"/>
      <c r="E24" s="24">
        <f>IF(D24&gt;0, F24/D24, 0)</f>
        <v/>
      </c>
      <c r="F24" s="23" t="n"/>
      <c r="G24" s="23" t="n"/>
      <c r="H24" s="23" t="n"/>
      <c r="I24" s="23" t="n"/>
      <c r="J24" s="23" t="n"/>
      <c r="K24" s="23">
        <f>F24+G24-H24+I24-J24</f>
        <v/>
      </c>
      <c r="L24" s="23">
        <f>'Thang_11'!L24+D24</f>
        <v/>
      </c>
      <c r="M24" s="24">
        <f>IF(L24&gt;0, N24/L24, 0)</f>
        <v/>
      </c>
      <c r="N24" s="23">
        <f>'Thang_11'!N24+F24</f>
        <v/>
      </c>
      <c r="O24" s="23">
        <f>'Thang_11'!O24+G24</f>
        <v/>
      </c>
      <c r="P24" s="23">
        <f>'Thang_11'!P24+H24</f>
        <v/>
      </c>
      <c r="Q24" s="23">
        <f>'Thang_11'!Q24+I24-J24</f>
        <v/>
      </c>
      <c r="R24" s="23">
        <f>'Thang_11'!R24+K24</f>
        <v/>
      </c>
    </row>
    <row r="25" ht="20" customHeight="1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/>
      <c r="E25" s="29">
        <f>IF(D25&gt;0, F25/D25, 0)</f>
        <v/>
      </c>
      <c r="F25" s="28" t="n"/>
      <c r="G25" s="28" t="n"/>
      <c r="H25" s="28" t="n"/>
      <c r="I25" s="28" t="n"/>
      <c r="J25" s="28" t="n"/>
      <c r="K25" s="28">
        <f>F25+G25-H25+I25-J25</f>
        <v/>
      </c>
      <c r="L25" s="28">
        <f>'Thang_11'!L25+D25</f>
        <v/>
      </c>
      <c r="M25" s="29">
        <f>IF(L25&gt;0, N25/L25, 0)</f>
        <v/>
      </c>
      <c r="N25" s="28">
        <f>'Thang_11'!N25+F25</f>
        <v/>
      </c>
      <c r="O25" s="28">
        <f>'Thang_11'!O25+G25</f>
        <v/>
      </c>
      <c r="P25" s="28">
        <f>'Thang_11'!P25+H25</f>
        <v/>
      </c>
      <c r="Q25" s="28">
        <f>'Thang_11'!Q25+I25-J25</f>
        <v/>
      </c>
      <c r="R25" s="28">
        <f>'Thang_11'!R25+K25</f>
        <v/>
      </c>
    </row>
    <row r="26" ht="20" customHeight="1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/>
      <c r="E26" s="29">
        <f>IF(D26&gt;0, F26/D26, 0)</f>
        <v/>
      </c>
      <c r="F26" s="28" t="n"/>
      <c r="G26" s="28" t="n"/>
      <c r="H26" s="28" t="n"/>
      <c r="I26" s="28" t="n"/>
      <c r="J26" s="28" t="n"/>
      <c r="K26" s="28">
        <f>F26+G26-H26+I26-J26</f>
        <v/>
      </c>
      <c r="L26" s="28">
        <f>'Thang_11'!L26+D26</f>
        <v/>
      </c>
      <c r="M26" s="29">
        <f>IF(L26&gt;0, N26/L26, 0)</f>
        <v/>
      </c>
      <c r="N26" s="28">
        <f>'Thang_11'!N26+F26</f>
        <v/>
      </c>
      <c r="O26" s="28">
        <f>'Thang_11'!O26+G26</f>
        <v/>
      </c>
      <c r="P26" s="28">
        <f>'Thang_11'!P26+H26</f>
        <v/>
      </c>
      <c r="Q26" s="28">
        <f>'Thang_11'!Q26+I26-J26</f>
        <v/>
      </c>
      <c r="R26" s="28">
        <f>'Thang_11'!R26+K26</f>
        <v/>
      </c>
    </row>
    <row r="27" ht="20" customHeight="1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/>
      <c r="E27" s="29">
        <f>IF(D27&gt;0, F27/D27, 0)</f>
        <v/>
      </c>
      <c r="F27" s="28" t="n"/>
      <c r="G27" s="28" t="n"/>
      <c r="H27" s="28" t="n"/>
      <c r="I27" s="28" t="n"/>
      <c r="J27" s="28" t="n"/>
      <c r="K27" s="28">
        <f>F27+G27-H27+I27-J27</f>
        <v/>
      </c>
      <c r="L27" s="28">
        <f>'Thang_11'!L27+D27</f>
        <v/>
      </c>
      <c r="M27" s="29">
        <f>IF(L27&gt;0, N27/L27, 0)</f>
        <v/>
      </c>
      <c r="N27" s="28">
        <f>'Thang_11'!N27+F27</f>
        <v/>
      </c>
      <c r="O27" s="28">
        <f>'Thang_11'!O27+G27</f>
        <v/>
      </c>
      <c r="P27" s="28">
        <f>'Thang_11'!P27+H27</f>
        <v/>
      </c>
      <c r="Q27" s="28">
        <f>'Thang_11'!Q27+I27-J27</f>
        <v/>
      </c>
      <c r="R27" s="28">
        <f>'Thang_11'!R27+K27</f>
        <v/>
      </c>
    </row>
    <row r="28" ht="20" customHeight="1">
      <c r="A28" s="20" t="inlineStr">
        <is>
          <t>4.2</t>
        </is>
      </c>
      <c r="B28" s="21" t="inlineStr">
        <is>
          <t xml:space="preserve">  HĐ đầu tư Tài chính</t>
        </is>
      </c>
      <c r="C28" s="22" t="inlineStr"/>
      <c r="D28" s="23" t="n"/>
      <c r="E28" s="24">
        <f>IF(D28&gt;0, F28/D28, 0)</f>
        <v/>
      </c>
      <c r="F28" s="23" t="n"/>
      <c r="G28" s="23" t="n"/>
      <c r="H28" s="23" t="n"/>
      <c r="I28" s="23" t="n"/>
      <c r="J28" s="23" t="n"/>
      <c r="K28" s="23">
        <f>F28+G28-H28+I28-J28</f>
        <v/>
      </c>
      <c r="L28" s="23">
        <f>'Thang_11'!L28+D28</f>
        <v/>
      </c>
      <c r="M28" s="24">
        <f>IF(L28&gt;0, N28/L28, 0)</f>
        <v/>
      </c>
      <c r="N28" s="23">
        <f>'Thang_11'!N28+F28</f>
        <v/>
      </c>
      <c r="O28" s="23">
        <f>'Thang_11'!O28+G28</f>
        <v/>
      </c>
      <c r="P28" s="23">
        <f>'Thang_11'!P28+H28</f>
        <v/>
      </c>
      <c r="Q28" s="23">
        <f>'Thang_11'!Q28+I28-J28</f>
        <v/>
      </c>
      <c r="R28" s="23">
        <f>'Thang_11'!R28+K28</f>
        <v/>
      </c>
    </row>
    <row r="29" ht="20" customHeight="1">
      <c r="A29" s="15" t="inlineStr">
        <is>
          <t>5</t>
        </is>
      </c>
      <c r="B29" s="16" t="inlineStr">
        <is>
          <t>XESCO (Xem Sơn)</t>
        </is>
      </c>
      <c r="C29" s="17" t="n">
        <v>15000</v>
      </c>
      <c r="D29" s="18" t="n"/>
      <c r="E29" s="19">
        <f>IF(D29&gt;0, F29/D29, 0)</f>
        <v/>
      </c>
      <c r="F29" s="18" t="n"/>
      <c r="G29" s="18" t="n"/>
      <c r="H29" s="18" t="n"/>
      <c r="I29" s="18" t="n"/>
      <c r="J29" s="18" t="n"/>
      <c r="K29" s="18">
        <f>F29+G29-H29+I29-J29</f>
        <v/>
      </c>
      <c r="L29" s="18">
        <f>'Thang_11'!L29+D29</f>
        <v/>
      </c>
      <c r="M29" s="19">
        <f>IF(L29&gt;0, N29/L29, 0)</f>
        <v/>
      </c>
      <c r="N29" s="18">
        <f>'Thang_11'!N29+F29</f>
        <v/>
      </c>
      <c r="O29" s="18">
        <f>'Thang_11'!O29+G29</f>
        <v/>
      </c>
      <c r="P29" s="18">
        <f>'Thang_11'!P29+H29</f>
        <v/>
      </c>
      <c r="Q29" s="18">
        <f>'Thang_11'!Q29+I29-J29</f>
        <v/>
      </c>
      <c r="R29" s="18">
        <f>'Thang_11'!R29+K29</f>
        <v/>
      </c>
    </row>
    <row r="30" ht="20" customHeight="1">
      <c r="A30" s="20" t="inlineStr">
        <is>
          <t>5.1</t>
        </is>
      </c>
      <c r="B30" s="21" t="inlineStr">
        <is>
          <t xml:space="preserve">  Xesco - KT</t>
        </is>
      </c>
      <c r="C30" s="22" t="inlineStr"/>
      <c r="D30" s="23" t="n"/>
      <c r="E30" s="24">
        <f>IF(D30&gt;0, F30/D30, 0)</f>
        <v/>
      </c>
      <c r="F30" s="23" t="n"/>
      <c r="G30" s="23" t="n"/>
      <c r="H30" s="23" t="n"/>
      <c r="I30" s="23" t="n"/>
      <c r="J30" s="23" t="n"/>
      <c r="K30" s="23">
        <f>F30+G30-H30+I30-J30</f>
        <v/>
      </c>
      <c r="L30" s="23">
        <f>'Thang_11'!L30+D30</f>
        <v/>
      </c>
      <c r="M30" s="24">
        <f>IF(L30&gt;0, N30/L30, 0)</f>
        <v/>
      </c>
      <c r="N30" s="23">
        <f>'Thang_11'!N30+F30</f>
        <v/>
      </c>
      <c r="O30" s="23">
        <f>'Thang_11'!O30+G30</f>
        <v/>
      </c>
      <c r="P30" s="23">
        <f>'Thang_11'!P30+H30</f>
        <v/>
      </c>
      <c r="Q30" s="23">
        <f>'Thang_11'!Q30+I30-J30</f>
        <v/>
      </c>
      <c r="R30" s="23">
        <f>'Thang_11'!R30+K30</f>
        <v/>
      </c>
    </row>
    <row r="31" ht="20" customHeight="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/>
      <c r="E31" s="29">
        <f>IF(D31&gt;0, F31/D31, 0)</f>
        <v/>
      </c>
      <c r="F31" s="28" t="n"/>
      <c r="G31" s="28" t="n"/>
      <c r="H31" s="28" t="n"/>
      <c r="I31" s="28" t="n"/>
      <c r="J31" s="28" t="n"/>
      <c r="K31" s="28">
        <f>F31+G31-H31+I31-J31</f>
        <v/>
      </c>
      <c r="L31" s="28">
        <f>'Thang_11'!L31+D31</f>
        <v/>
      </c>
      <c r="M31" s="29">
        <f>IF(L31&gt;0, N31/L31, 0)</f>
        <v/>
      </c>
      <c r="N31" s="28">
        <f>'Thang_11'!N31+F31</f>
        <v/>
      </c>
      <c r="O31" s="28">
        <f>'Thang_11'!O31+G31</f>
        <v/>
      </c>
      <c r="P31" s="28">
        <f>'Thang_11'!P31+H31</f>
        <v/>
      </c>
      <c r="Q31" s="28">
        <f>'Thang_11'!Q31+I31-J31</f>
        <v/>
      </c>
      <c r="R31" s="28">
        <f>'Thang_11'!R31+K31</f>
        <v/>
      </c>
    </row>
    <row r="32" ht="20" customHeight="1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/>
      <c r="E32" s="29">
        <f>IF(D32&gt;0, F32/D32, 0)</f>
        <v/>
      </c>
      <c r="F32" s="28" t="n"/>
      <c r="G32" s="28" t="n"/>
      <c r="H32" s="28" t="n"/>
      <c r="I32" s="28" t="n"/>
      <c r="J32" s="28" t="n"/>
      <c r="K32" s="28">
        <f>F32+G32-H32+I32-J32</f>
        <v/>
      </c>
      <c r="L32" s="28">
        <f>'Thang_11'!L32+D32</f>
        <v/>
      </c>
      <c r="M32" s="29">
        <f>IF(L32&gt;0, N32/L32, 0)</f>
        <v/>
      </c>
      <c r="N32" s="28">
        <f>'Thang_11'!N32+F32</f>
        <v/>
      </c>
      <c r="O32" s="28">
        <f>'Thang_11'!O32+G32</f>
        <v/>
      </c>
      <c r="P32" s="28">
        <f>'Thang_11'!P32+H32</f>
        <v/>
      </c>
      <c r="Q32" s="28">
        <f>'Thang_11'!Q32+I32-J32</f>
        <v/>
      </c>
      <c r="R32" s="28">
        <f>'Thang_11'!R32+K32</f>
        <v/>
      </c>
    </row>
    <row r="33" ht="20" customHeight="1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/>
      <c r="E33" s="29">
        <f>IF(D33&gt;0, F33/D33, 0)</f>
        <v/>
      </c>
      <c r="F33" s="28" t="n"/>
      <c r="G33" s="28" t="n"/>
      <c r="H33" s="28" t="n"/>
      <c r="I33" s="28" t="n"/>
      <c r="J33" s="28" t="n"/>
      <c r="K33" s="28">
        <f>F33+G33-H33+I33-J33</f>
        <v/>
      </c>
      <c r="L33" s="28">
        <f>'Thang_11'!L33+D33</f>
        <v/>
      </c>
      <c r="M33" s="29">
        <f>IF(L33&gt;0, N33/L33, 0)</f>
        <v/>
      </c>
      <c r="N33" s="28">
        <f>'Thang_11'!N33+F33</f>
        <v/>
      </c>
      <c r="O33" s="28">
        <f>'Thang_11'!O33+G33</f>
        <v/>
      </c>
      <c r="P33" s="28">
        <f>'Thang_11'!P33+H33</f>
        <v/>
      </c>
      <c r="Q33" s="28">
        <f>'Thang_11'!Q33+I33-J33</f>
        <v/>
      </c>
      <c r="R33" s="28">
        <f>'Thang_11'!R33+K33</f>
        <v/>
      </c>
    </row>
    <row r="34" ht="20" customHeight="1">
      <c r="A34" s="20" t="inlineStr">
        <is>
          <t>5.2</t>
        </is>
      </c>
      <c r="B34" s="21" t="inlineStr">
        <is>
          <t xml:space="preserve">  Xesco - KD</t>
        </is>
      </c>
      <c r="C34" s="22" t="inlineStr"/>
      <c r="D34" s="23" t="n"/>
      <c r="E34" s="24">
        <f>IF(D34&gt;0, F34/D34, 0)</f>
        <v/>
      </c>
      <c r="F34" s="23" t="n"/>
      <c r="G34" s="23" t="n"/>
      <c r="H34" s="23" t="n"/>
      <c r="I34" s="23" t="n"/>
      <c r="J34" s="23" t="n"/>
      <c r="K34" s="23">
        <f>F34+G34-H34+I34-J34</f>
        <v/>
      </c>
      <c r="L34" s="23">
        <f>'Thang_11'!L34+D34</f>
        <v/>
      </c>
      <c r="M34" s="24">
        <f>IF(L34&gt;0, N34/L34, 0)</f>
        <v/>
      </c>
      <c r="N34" s="23">
        <f>'Thang_11'!N34+F34</f>
        <v/>
      </c>
      <c r="O34" s="23">
        <f>'Thang_11'!O34+G34</f>
        <v/>
      </c>
      <c r="P34" s="23">
        <f>'Thang_11'!P34+H34</f>
        <v/>
      </c>
      <c r="Q34" s="23">
        <f>'Thang_11'!Q34+I34-J34</f>
        <v/>
      </c>
      <c r="R34" s="23">
        <f>'Thang_11'!R34+K34</f>
        <v/>
      </c>
    </row>
    <row r="35" ht="20" customHeight="1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/>
      <c r="E35" s="29">
        <f>IF(D35&gt;0, F35/D35, 0)</f>
        <v/>
      </c>
      <c r="F35" s="28" t="n"/>
      <c r="G35" s="28" t="n"/>
      <c r="H35" s="28" t="n"/>
      <c r="I35" s="28" t="n"/>
      <c r="J35" s="28" t="n"/>
      <c r="K35" s="28">
        <f>F35+G35-H35+I35-J35</f>
        <v/>
      </c>
      <c r="L35" s="28">
        <f>'Thang_11'!L35+D35</f>
        <v/>
      </c>
      <c r="M35" s="29">
        <f>IF(L35&gt;0, N35/L35, 0)</f>
        <v/>
      </c>
      <c r="N35" s="28">
        <f>'Thang_11'!N35+F35</f>
        <v/>
      </c>
      <c r="O35" s="28">
        <f>'Thang_11'!O35+G35</f>
        <v/>
      </c>
      <c r="P35" s="28">
        <f>'Thang_11'!P35+H35</f>
        <v/>
      </c>
      <c r="Q35" s="28">
        <f>'Thang_11'!Q35+I35-J35</f>
        <v/>
      </c>
      <c r="R35" s="28">
        <f>'Thang_11'!R35+K35</f>
        <v/>
      </c>
    </row>
    <row r="36" ht="20" customHeight="1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/>
      <c r="E36" s="29">
        <f>IF(D36&gt;0, F36/D36, 0)</f>
        <v/>
      </c>
      <c r="F36" s="28" t="n"/>
      <c r="G36" s="28" t="n"/>
      <c r="H36" s="28" t="n"/>
      <c r="I36" s="28" t="n"/>
      <c r="J36" s="28" t="n"/>
      <c r="K36" s="28">
        <f>F36+G36-H36+I36-J36</f>
        <v/>
      </c>
      <c r="L36" s="28">
        <f>'Thang_11'!L36+D36</f>
        <v/>
      </c>
      <c r="M36" s="29">
        <f>IF(L36&gt;0, N36/L36, 0)</f>
        <v/>
      </c>
      <c r="N36" s="28">
        <f>'Thang_11'!N36+F36</f>
        <v/>
      </c>
      <c r="O36" s="28">
        <f>'Thang_11'!O36+G36</f>
        <v/>
      </c>
      <c r="P36" s="28">
        <f>'Thang_11'!P36+H36</f>
        <v/>
      </c>
      <c r="Q36" s="28">
        <f>'Thang_11'!Q36+I36-J36</f>
        <v/>
      </c>
      <c r="R36" s="28">
        <f>'Thang_11'!R36+K36</f>
        <v/>
      </c>
    </row>
    <row r="37" ht="20" customHeight="1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/>
      <c r="E37" s="29">
        <f>IF(D37&gt;0, F37/D37, 0)</f>
        <v/>
      </c>
      <c r="F37" s="28" t="n"/>
      <c r="G37" s="28" t="n"/>
      <c r="H37" s="28" t="n"/>
      <c r="I37" s="28" t="n"/>
      <c r="J37" s="28" t="n"/>
      <c r="K37" s="28">
        <f>F37+G37-H37+I37-J37</f>
        <v/>
      </c>
      <c r="L37" s="28">
        <f>'Thang_11'!L37+D37</f>
        <v/>
      </c>
      <c r="M37" s="29">
        <f>IF(L37&gt;0, N37/L37, 0)</f>
        <v/>
      </c>
      <c r="N37" s="28">
        <f>'Thang_11'!N37+F37</f>
        <v/>
      </c>
      <c r="O37" s="28">
        <f>'Thang_11'!O37+G37</f>
        <v/>
      </c>
      <c r="P37" s="28">
        <f>'Thang_11'!P37+H37</f>
        <v/>
      </c>
      <c r="Q37" s="28">
        <f>'Thang_11'!Q37+I37-J37</f>
        <v/>
      </c>
      <c r="R37" s="28">
        <f>'Thang_11'!R37+K37</f>
        <v/>
      </c>
    </row>
    <row r="38" ht="20" customHeight="1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/>
      <c r="E38" s="29">
        <f>IF(D38&gt;0, F38/D38, 0)</f>
        <v/>
      </c>
      <c r="F38" s="28" t="n"/>
      <c r="G38" s="28" t="n"/>
      <c r="H38" s="28" t="n"/>
      <c r="I38" s="28" t="n"/>
      <c r="J38" s="28" t="n"/>
      <c r="K38" s="28">
        <f>F38+G38-H38+I38-J38</f>
        <v/>
      </c>
      <c r="L38" s="28">
        <f>'Thang_11'!L38+D38</f>
        <v/>
      </c>
      <c r="M38" s="29">
        <f>IF(L38&gt;0, N38/L38, 0)</f>
        <v/>
      </c>
      <c r="N38" s="28">
        <f>'Thang_11'!N38+F38</f>
        <v/>
      </c>
      <c r="O38" s="28">
        <f>'Thang_11'!O38+G38</f>
        <v/>
      </c>
      <c r="P38" s="28">
        <f>'Thang_11'!P38+H38</f>
        <v/>
      </c>
      <c r="Q38" s="28">
        <f>'Thang_11'!Q38+I38-J38</f>
        <v/>
      </c>
      <c r="R38" s="28">
        <f>'Thang_11'!R38+K38</f>
        <v/>
      </c>
    </row>
    <row r="39" ht="20" customHeight="1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/>
      <c r="E39" s="29">
        <f>IF(D39&gt;0, F39/D39, 0)</f>
        <v/>
      </c>
      <c r="F39" s="28" t="n"/>
      <c r="G39" s="28" t="n"/>
      <c r="H39" s="28" t="n"/>
      <c r="I39" s="28" t="n"/>
      <c r="J39" s="28" t="n"/>
      <c r="K39" s="28">
        <f>F39+G39-H39+I39-J39</f>
        <v/>
      </c>
      <c r="L39" s="28">
        <f>'Thang_11'!L39+D39</f>
        <v/>
      </c>
      <c r="M39" s="29">
        <f>IF(L39&gt;0, N39/L39, 0)</f>
        <v/>
      </c>
      <c r="N39" s="28">
        <f>'Thang_11'!N39+F39</f>
        <v/>
      </c>
      <c r="O39" s="28">
        <f>'Thang_11'!O39+G39</f>
        <v/>
      </c>
      <c r="P39" s="28">
        <f>'Thang_11'!P39+H39</f>
        <v/>
      </c>
      <c r="Q39" s="28">
        <f>'Thang_11'!Q39+I39-J39</f>
        <v/>
      </c>
      <c r="R39" s="28">
        <f>'Thang_11'!R39+K39</f>
        <v/>
      </c>
    </row>
    <row r="40" ht="20" customHeight="1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8" t="n"/>
      <c r="E40" s="29">
        <f>IF(D40&gt;0, F40/D40, 0)</f>
        <v/>
      </c>
      <c r="F40" s="28" t="n"/>
      <c r="G40" s="28" t="n"/>
      <c r="H40" s="28" t="n"/>
      <c r="I40" s="28" t="n"/>
      <c r="J40" s="28" t="n"/>
      <c r="K40" s="28">
        <f>F40+G40-H40+I40-J40</f>
        <v/>
      </c>
      <c r="L40" s="28">
        <f>'Thang_11'!L40+D40</f>
        <v/>
      </c>
      <c r="M40" s="29">
        <f>IF(L40&gt;0, N40/L40, 0)</f>
        <v/>
      </c>
      <c r="N40" s="28">
        <f>'Thang_11'!N40+F40</f>
        <v/>
      </c>
      <c r="O40" s="28">
        <f>'Thang_11'!O40+G40</f>
        <v/>
      </c>
      <c r="P40" s="28">
        <f>'Thang_11'!P40+H40</f>
        <v/>
      </c>
      <c r="Q40" s="28">
        <f>'Thang_11'!Q40+I40-J40</f>
        <v/>
      </c>
      <c r="R40" s="28">
        <f>'Thang_11'!R40+K40</f>
        <v/>
      </c>
    </row>
    <row r="41" ht="20" customHeight="1">
      <c r="A41" s="10" t="inlineStr">
        <is>
          <t>II</t>
        </is>
      </c>
      <c r="B41" s="11" t="inlineStr">
        <is>
          <t>VPS MIỀN TRUNG</t>
        </is>
      </c>
      <c r="C41" s="12" t="n">
        <v>3000</v>
      </c>
      <c r="D41" s="13" t="n"/>
      <c r="E41" s="14">
        <f>IF(D41&gt;0, F41/D41, 0)</f>
        <v/>
      </c>
      <c r="F41" s="13" t="n"/>
      <c r="G41" s="13" t="n"/>
      <c r="H41" s="13" t="n"/>
      <c r="I41" s="13" t="n"/>
      <c r="J41" s="13" t="n"/>
      <c r="K41" s="13">
        <f>F41+G41-H41+I41-J41</f>
        <v/>
      </c>
      <c r="L41" s="13">
        <f>'Thang_11'!L41+D41</f>
        <v/>
      </c>
      <c r="M41" s="14">
        <f>IF(L41&gt;0, N41/L41, 0)</f>
        <v/>
      </c>
      <c r="N41" s="13">
        <f>'Thang_11'!N41+F41</f>
        <v/>
      </c>
      <c r="O41" s="13">
        <f>'Thang_11'!O41+G41</f>
        <v/>
      </c>
      <c r="P41" s="13">
        <f>'Thang_11'!P41+H41</f>
        <v/>
      </c>
      <c r="Q41" s="13">
        <f>'Thang_11'!Q41+I41-J41</f>
        <v/>
      </c>
      <c r="R41" s="13">
        <f>'Thang_11'!R41+K41</f>
        <v/>
      </c>
    </row>
    <row r="42" ht="20" customHeight="1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/>
      <c r="E42" s="29">
        <f>IF(D42&gt;0, F42/D42, 0)</f>
        <v/>
      </c>
      <c r="F42" s="28" t="n"/>
      <c r="G42" s="28" t="n"/>
      <c r="H42" s="28" t="n"/>
      <c r="I42" s="28" t="n"/>
      <c r="J42" s="28" t="n"/>
      <c r="K42" s="28">
        <f>F42+G42-H42+I42-J42</f>
        <v/>
      </c>
      <c r="L42" s="28">
        <f>'Thang_11'!L42+D42</f>
        <v/>
      </c>
      <c r="M42" s="29">
        <f>IF(L42&gt;0, N42/L42, 0)</f>
        <v/>
      </c>
      <c r="N42" s="28">
        <f>'Thang_11'!N42+F42</f>
        <v/>
      </c>
      <c r="O42" s="28">
        <f>'Thang_11'!O42+G42</f>
        <v/>
      </c>
      <c r="P42" s="28">
        <f>'Thang_11'!P42+H42</f>
        <v/>
      </c>
      <c r="Q42" s="28">
        <f>'Thang_11'!Q42+I42-J42</f>
        <v/>
      </c>
      <c r="R42" s="28">
        <f>'Thang_11'!R42+K42</f>
        <v/>
      </c>
    </row>
    <row r="43" ht="20" customHeight="1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/>
      <c r="E43" s="29">
        <f>IF(D43&gt;0, F43/D43, 0)</f>
        <v/>
      </c>
      <c r="F43" s="28" t="n"/>
      <c r="G43" s="28" t="n"/>
      <c r="H43" s="28" t="n"/>
      <c r="I43" s="28" t="n"/>
      <c r="J43" s="28" t="n"/>
      <c r="K43" s="28">
        <f>F43+G43-H43+I43-J43</f>
        <v/>
      </c>
      <c r="L43" s="28">
        <f>'Thang_11'!L43+D43</f>
        <v/>
      </c>
      <c r="M43" s="29">
        <f>IF(L43&gt;0, N43/L43, 0)</f>
        <v/>
      </c>
      <c r="N43" s="28">
        <f>'Thang_11'!N43+F43</f>
        <v/>
      </c>
      <c r="O43" s="28">
        <f>'Thang_11'!O43+G43</f>
        <v/>
      </c>
      <c r="P43" s="28">
        <f>'Thang_11'!P43+H43</f>
        <v/>
      </c>
      <c r="Q43" s="28">
        <f>'Thang_11'!Q43+I43-J43</f>
        <v/>
      </c>
      <c r="R43" s="28">
        <f>'Thang_11'!R43+K43</f>
        <v/>
      </c>
    </row>
    <row r="44" ht="20" customHeight="1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/>
      <c r="E44" s="29">
        <f>IF(D44&gt;0, F44/D44, 0)</f>
        <v/>
      </c>
      <c r="F44" s="28" t="n"/>
      <c r="G44" s="28" t="n"/>
      <c r="H44" s="28" t="n"/>
      <c r="I44" s="28" t="n"/>
      <c r="J44" s="28" t="n"/>
      <c r="K44" s="28">
        <f>F44+G44-H44+I44-J44</f>
        <v/>
      </c>
      <c r="L44" s="28">
        <f>'Thang_11'!L44+D44</f>
        <v/>
      </c>
      <c r="M44" s="29">
        <f>IF(L44&gt;0, N44/L44, 0)</f>
        <v/>
      </c>
      <c r="N44" s="28">
        <f>'Thang_11'!N44+F44</f>
        <v/>
      </c>
      <c r="O44" s="28">
        <f>'Thang_11'!O44+G44</f>
        <v/>
      </c>
      <c r="P44" s="28">
        <f>'Thang_11'!P44+H44</f>
        <v/>
      </c>
      <c r="Q44" s="28">
        <f>'Thang_11'!Q44+I44-J44</f>
        <v/>
      </c>
      <c r="R44" s="28">
        <f>'Thang_11'!R44+K44</f>
        <v/>
      </c>
    </row>
    <row r="45" ht="20" customHeight="1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/>
      <c r="E45" s="29">
        <f>IF(D45&gt;0, F45/D45, 0)</f>
        <v/>
      </c>
      <c r="F45" s="28" t="n"/>
      <c r="G45" s="28" t="n"/>
      <c r="H45" s="28" t="n"/>
      <c r="I45" s="28" t="n"/>
      <c r="J45" s="28" t="n"/>
      <c r="K45" s="28">
        <f>F45+G45-H45+I45-J45</f>
        <v/>
      </c>
      <c r="L45" s="28">
        <f>'Thang_11'!L45+D45</f>
        <v/>
      </c>
      <c r="M45" s="29">
        <f>IF(L45&gt;0, N45/L45, 0)</f>
        <v/>
      </c>
      <c r="N45" s="28">
        <f>'Thang_11'!N45+F45</f>
        <v/>
      </c>
      <c r="O45" s="28">
        <f>'Thang_11'!O45+G45</f>
        <v/>
      </c>
      <c r="P45" s="28">
        <f>'Thang_11'!P45+H45</f>
        <v/>
      </c>
      <c r="Q45" s="28">
        <f>'Thang_11'!Q45+I45-J45</f>
        <v/>
      </c>
      <c r="R45" s="28">
        <f>'Thang_11'!R45+K45</f>
        <v/>
      </c>
    </row>
    <row r="46" ht="20" customHeight="1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/>
      <c r="E46" s="29">
        <f>IF(D46&gt;0, F46/D46, 0)</f>
        <v/>
      </c>
      <c r="F46" s="28" t="n"/>
      <c r="G46" s="28" t="n"/>
      <c r="H46" s="28" t="n"/>
      <c r="I46" s="28" t="n"/>
      <c r="J46" s="28" t="n"/>
      <c r="K46" s="28">
        <f>F46+G46-H46+I46-J46</f>
        <v/>
      </c>
      <c r="L46" s="28">
        <f>'Thang_11'!L46+D46</f>
        <v/>
      </c>
      <c r="M46" s="29">
        <f>IF(L46&gt;0, N46/L46, 0)</f>
        <v/>
      </c>
      <c r="N46" s="28">
        <f>'Thang_11'!N46+F46</f>
        <v/>
      </c>
      <c r="O46" s="28">
        <f>'Thang_11'!O46+G46</f>
        <v/>
      </c>
      <c r="P46" s="28">
        <f>'Thang_11'!P46+H46</f>
        <v/>
      </c>
      <c r="Q46" s="28">
        <f>'Thang_11'!Q46+I46-J46</f>
        <v/>
      </c>
      <c r="R46" s="28">
        <f>'Thang_11'!R46+K46</f>
        <v/>
      </c>
    </row>
    <row r="47" ht="20" customHeight="1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/>
      <c r="E47" s="29">
        <f>IF(D47&gt;0, F47/D47, 0)</f>
        <v/>
      </c>
      <c r="F47" s="28" t="n"/>
      <c r="G47" s="28" t="n"/>
      <c r="H47" s="28" t="n"/>
      <c r="I47" s="28" t="n"/>
      <c r="J47" s="28" t="n"/>
      <c r="K47" s="28">
        <f>F47+G47-H47+I47-J47</f>
        <v/>
      </c>
      <c r="L47" s="28">
        <f>'Thang_11'!L47+D47</f>
        <v/>
      </c>
      <c r="M47" s="29">
        <f>IF(L47&gt;0, N47/L47, 0)</f>
        <v/>
      </c>
      <c r="N47" s="28">
        <f>'Thang_11'!N47+F47</f>
        <v/>
      </c>
      <c r="O47" s="28">
        <f>'Thang_11'!O47+G47</f>
        <v/>
      </c>
      <c r="P47" s="28">
        <f>'Thang_11'!P47+H47</f>
        <v/>
      </c>
      <c r="Q47" s="28">
        <f>'Thang_11'!Q47+I47-J47</f>
        <v/>
      </c>
      <c r="R47" s="28">
        <f>'Thang_11'!R47+K47</f>
        <v/>
      </c>
    </row>
    <row r="48" ht="20" customHeight="1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/>
      <c r="E48" s="29">
        <f>IF(D48&gt;0, F48/D48, 0)</f>
        <v/>
      </c>
      <c r="F48" s="28" t="n"/>
      <c r="G48" s="28" t="n"/>
      <c r="H48" s="28" t="n"/>
      <c r="I48" s="28" t="n"/>
      <c r="J48" s="28" t="n"/>
      <c r="K48" s="28">
        <f>F48+G48-H48+I48-J48</f>
        <v/>
      </c>
      <c r="L48" s="28">
        <f>'Thang_11'!L48+D48</f>
        <v/>
      </c>
      <c r="M48" s="29">
        <f>IF(L48&gt;0, N48/L48, 0)</f>
        <v/>
      </c>
      <c r="N48" s="28">
        <f>'Thang_11'!N48+F48</f>
        <v/>
      </c>
      <c r="O48" s="28">
        <f>'Thang_11'!O48+G48</f>
        <v/>
      </c>
      <c r="P48" s="28">
        <f>'Thang_11'!P48+H48</f>
        <v/>
      </c>
      <c r="Q48" s="28">
        <f>'Thang_11'!Q48+I48-J48</f>
        <v/>
      </c>
      <c r="R48" s="28">
        <f>'Thang_11'!R48+K48</f>
        <v/>
      </c>
    </row>
    <row r="49" ht="20" customHeight="1">
      <c r="A49" s="30" t="inlineStr">
        <is>
          <t>★</t>
        </is>
      </c>
      <c r="B49" s="31" t="inlineStr">
        <is>
          <t>TỔNG CỘNG TOÀN TẬP ĐOÀN</t>
        </is>
      </c>
      <c r="C49" s="32" t="n">
        <v>93000</v>
      </c>
      <c r="D49" s="33" t="n"/>
      <c r="E49" s="34">
        <f>IF(D49&gt;0, F49/D49, 0)</f>
        <v/>
      </c>
      <c r="F49" s="33" t="n"/>
      <c r="G49" s="33" t="n"/>
      <c r="H49" s="33" t="n"/>
      <c r="I49" s="33" t="n"/>
      <c r="J49" s="33" t="n"/>
      <c r="K49" s="33">
        <f>F49+G49-H49+I49-J49</f>
        <v/>
      </c>
      <c r="L49" s="33">
        <f>'Thang_11'!L49+D49</f>
        <v/>
      </c>
      <c r="M49" s="34">
        <f>IF(L49&gt;0, N49/L49, 0)</f>
        <v/>
      </c>
      <c r="N49" s="33">
        <f>'Thang_11'!N49+F49</f>
        <v/>
      </c>
      <c r="O49" s="33">
        <f>'Thang_11'!O49+G49</f>
        <v/>
      </c>
      <c r="P49" s="33">
        <f>'Thang_11'!P49+H49</f>
        <v/>
      </c>
      <c r="Q49" s="33">
        <f>'Thang_11'!Q49+I49-J49</f>
        <v/>
      </c>
      <c r="R49" s="33">
        <f>'Thang_11'!R49+K49</f>
        <v/>
      </c>
    </row>
  </sheetData>
  <mergeCells count="7">
    <mergeCell ref="D3:K3"/>
    <mergeCell ref="A2:R2"/>
    <mergeCell ref="C3:C4"/>
    <mergeCell ref="B3:B4"/>
    <mergeCell ref="A3:A4"/>
    <mergeCell ref="L3:R3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4" customWidth="1" min="4" max="4"/>
    <col width="10" customWidth="1" min="5" max="5"/>
    <col width="14" customWidth="1" min="6" max="6"/>
    <col width="11" customWidth="1" min="7" max="7"/>
    <col width="13" customWidth="1" min="8" max="8"/>
    <col width="13" customWidth="1" min="9" max="9"/>
    <col width="14" customWidth="1" min="10" max="10"/>
  </cols>
  <sheetData>
    <row r="1" ht="26" customHeight="1">
      <c r="A1" s="35" t="inlineStr">
        <is>
          <t>MỐC LŨY KẾ CHỐT SỔ 8 THÁNG ĐẦU NĂM 2026 (VPS GROUP)</t>
        </is>
      </c>
    </row>
    <row r="2" ht="18" customHeight="1">
      <c r="A2" s="36" t="inlineStr">
        <is>
          <t>Số liệu kiểm toán chính thức làm nền tảng tính toán tự động cho Tháng 9, 10, 11, 12 / 2026</t>
        </is>
      </c>
    </row>
    <row r="3" ht="24" customHeight="1">
      <c r="A3" s="3" t="inlineStr">
        <is>
          <t>TT</t>
        </is>
      </c>
      <c r="B3" s="3" t="inlineStr">
        <is>
          <t>NỘI DUNG</t>
        </is>
      </c>
      <c r="C3" s="3" t="inlineStr">
        <is>
          <t>VỐN ĐT</t>
        </is>
      </c>
      <c r="D3" s="3" t="inlineStr">
        <is>
          <t>LŨY KẾ DS</t>
        </is>
      </c>
      <c r="E3" s="3" t="inlineStr">
        <is>
          <t>% LG</t>
        </is>
      </c>
      <c r="F3" s="3" t="inlineStr">
        <is>
          <t>LŨY KẾ LG</t>
        </is>
      </c>
      <c r="G3" s="3" t="inlineStr">
        <is>
          <t>HỖ TRỢ LG</t>
        </is>
      </c>
      <c r="H3" s="3" t="inlineStr">
        <is>
          <t>CHI PHÍ</t>
        </is>
      </c>
      <c r="I3" s="3" t="inlineStr">
        <is>
          <t>TN KHÁC NET</t>
        </is>
      </c>
      <c r="J3" s="3" t="inlineStr">
        <is>
          <t>LNTT</t>
        </is>
      </c>
    </row>
    <row r="5">
      <c r="A5" s="10" t="inlineStr">
        <is>
          <t>I</t>
        </is>
      </c>
      <c r="B5" s="11" t="inlineStr">
        <is>
          <t>MIỀN BẮC</t>
        </is>
      </c>
      <c r="C5" s="13" t="n">
        <v>90000</v>
      </c>
      <c r="D5" s="13" t="n">
        <v>154375</v>
      </c>
      <c r="E5" s="37" t="n">
        <v>0.1974283400809717</v>
      </c>
      <c r="F5" s="13" t="n">
        <v>30478</v>
      </c>
      <c r="G5" s="13" t="n">
        <v>343</v>
      </c>
      <c r="H5" s="13" t="n">
        <v>39526</v>
      </c>
      <c r="I5" s="13" t="n">
        <v>9025</v>
      </c>
      <c r="J5" s="13" t="n">
        <v>55</v>
      </c>
    </row>
    <row r="6">
      <c r="A6" s="15" t="inlineStr">
        <is>
          <t>1</t>
        </is>
      </c>
      <c r="B6" s="16" t="inlineStr">
        <is>
          <t>THH (Tân Hồng Hà)</t>
        </is>
      </c>
      <c r="C6" s="18" t="n">
        <v>50000</v>
      </c>
      <c r="D6" s="18" t="n">
        <v>78197</v>
      </c>
      <c r="E6" s="38" t="n">
        <v>0.2090489404964385</v>
      </c>
      <c r="F6" s="18" t="n">
        <v>16347</v>
      </c>
      <c r="G6" s="18" t="n">
        <v>343</v>
      </c>
      <c r="H6" s="18" t="n">
        <v>13846</v>
      </c>
      <c r="I6" s="18" t="n">
        <v>58</v>
      </c>
      <c r="J6" s="18" t="n">
        <v>2902</v>
      </c>
    </row>
    <row r="7">
      <c r="A7" s="25" t="inlineStr">
        <is>
          <t>a</t>
        </is>
      </c>
      <c r="B7" s="26" t="inlineStr">
        <is>
          <t xml:space="preserve">  Khối dịch vụ kỹ thuật</t>
        </is>
      </c>
      <c r="C7" s="27" t="inlineStr"/>
      <c r="D7" s="28" t="n">
        <v>18382</v>
      </c>
      <c r="E7" s="39" t="n">
        <v>0.3589380916113589</v>
      </c>
      <c r="F7" s="28" t="n">
        <v>6598</v>
      </c>
      <c r="G7" s="28" t="n">
        <v>54</v>
      </c>
      <c r="H7" s="28" t="n">
        <v>6291</v>
      </c>
      <c r="I7" s="28" t="n">
        <v>1</v>
      </c>
      <c r="J7" s="28" t="n">
        <v>362</v>
      </c>
    </row>
    <row r="8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>
        <v>9304</v>
      </c>
      <c r="E8" s="39" t="n">
        <v>0.333512467755804</v>
      </c>
      <c r="F8" s="28" t="n">
        <v>3103</v>
      </c>
      <c r="G8" s="28" t="n">
        <v>53</v>
      </c>
      <c r="H8" s="27" t="inlineStr"/>
      <c r="I8" s="27" t="inlineStr"/>
      <c r="J8" s="27" t="inlineStr"/>
    </row>
    <row r="9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>
        <v>2319</v>
      </c>
      <c r="E9" s="39" t="n">
        <v>0.5095730918499354</v>
      </c>
      <c r="F9" s="28" t="n">
        <v>1181.7</v>
      </c>
      <c r="G9" s="27" t="inlineStr"/>
      <c r="H9" s="27" t="inlineStr"/>
      <c r="I9" s="27" t="inlineStr"/>
      <c r="J9" s="27" t="inlineStr"/>
    </row>
    <row r="10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>
        <v>4304</v>
      </c>
      <c r="E10" s="39" t="n">
        <v>0.3310408921933086</v>
      </c>
      <c r="F10" s="28" t="n">
        <v>1424.8</v>
      </c>
      <c r="G10" s="27" t="inlineStr"/>
      <c r="H10" s="27" t="inlineStr"/>
      <c r="I10" s="27" t="inlineStr"/>
      <c r="J10" s="27" t="inlineStr"/>
    </row>
    <row r="1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>
        <v>1684</v>
      </c>
      <c r="E11" s="39" t="n">
        <v>0.5184085510688836</v>
      </c>
      <c r="F11" s="28" t="n">
        <v>873</v>
      </c>
      <c r="G11" s="27" t="inlineStr"/>
      <c r="H11" s="27" t="inlineStr"/>
      <c r="I11" s="27" t="inlineStr"/>
      <c r="J11" s="27" t="inlineStr"/>
    </row>
    <row r="12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>
        <v>772</v>
      </c>
      <c r="E12" s="39" t="n">
        <v>0.01955958549222798</v>
      </c>
      <c r="F12" s="28" t="n">
        <v>15.1</v>
      </c>
      <c r="G12" s="28" t="n">
        <v>1</v>
      </c>
      <c r="H12" s="27" t="inlineStr"/>
      <c r="I12" s="27" t="inlineStr"/>
      <c r="J12" s="27" t="inlineStr"/>
    </row>
    <row r="13">
      <c r="A13" s="25" t="inlineStr">
        <is>
          <t>b</t>
        </is>
      </c>
      <c r="B13" s="26" t="inlineStr">
        <is>
          <t xml:space="preserve">  Kinh doanh tổng hợp</t>
        </is>
      </c>
      <c r="C13" s="27" t="inlineStr"/>
      <c r="D13" s="28" t="n">
        <v>14949</v>
      </c>
      <c r="E13" s="39" t="n">
        <v>0.08108234664526055</v>
      </c>
      <c r="F13" s="28" t="n">
        <v>1212.1</v>
      </c>
      <c r="G13" s="28" t="n">
        <v>9</v>
      </c>
      <c r="H13" s="28" t="n">
        <v>1324</v>
      </c>
      <c r="I13" s="28" t="n">
        <v>47</v>
      </c>
      <c r="J13" s="28" t="n">
        <v>-55</v>
      </c>
    </row>
    <row r="14">
      <c r="A14" s="25" t="inlineStr">
        <is>
          <t>c</t>
        </is>
      </c>
      <c r="B14" s="26" t="inlineStr">
        <is>
          <t xml:space="preserve">  Kinh doanh bán buôn</t>
        </is>
      </c>
      <c r="C14" s="27" t="inlineStr"/>
      <c r="D14" s="28" t="n">
        <v>30362</v>
      </c>
      <c r="E14" s="39" t="n">
        <v>0.09377182003820565</v>
      </c>
      <c r="F14" s="28" t="n">
        <v>2847.1</v>
      </c>
      <c r="G14" s="28" t="n">
        <v>279</v>
      </c>
      <c r="H14" s="28" t="n">
        <v>2833</v>
      </c>
      <c r="I14" s="28" t="n">
        <v>10</v>
      </c>
      <c r="J14" s="28" t="n">
        <v>303</v>
      </c>
    </row>
    <row r="15">
      <c r="A15" s="25" t="inlineStr">
        <is>
          <t>d</t>
        </is>
      </c>
      <c r="B15" s="26" t="inlineStr">
        <is>
          <t xml:space="preserve">  Dự án</t>
        </is>
      </c>
      <c r="C15" s="27" t="inlineStr"/>
      <c r="D15" s="28" t="n">
        <v>14503</v>
      </c>
      <c r="E15" s="39" t="n">
        <v>0.3923533062125077</v>
      </c>
      <c r="F15" s="28" t="n">
        <v>5690.3</v>
      </c>
      <c r="G15" s="27" t="inlineStr"/>
      <c r="H15" s="28" t="n">
        <v>3398</v>
      </c>
      <c r="I15" s="27" t="inlineStr"/>
      <c r="J15" s="28" t="n">
        <v>2292</v>
      </c>
    </row>
    <row r="16">
      <c r="A16" s="15" t="inlineStr">
        <is>
          <t>2</t>
        </is>
      </c>
      <c r="B16" s="16" t="inlineStr">
        <is>
          <t>Việt</t>
        </is>
      </c>
      <c r="C16" s="18" t="n">
        <v>10000</v>
      </c>
      <c r="D16" s="18" t="n">
        <v>48605</v>
      </c>
      <c r="E16" s="38" t="n">
        <v>0.2058224462503858</v>
      </c>
      <c r="F16" s="18" t="n">
        <v>10004</v>
      </c>
      <c r="G16" s="40" t="inlineStr"/>
      <c r="H16" s="18" t="n">
        <v>7839</v>
      </c>
      <c r="I16" s="18" t="n">
        <v>0</v>
      </c>
      <c r="J16" s="18" t="n">
        <v>2165</v>
      </c>
    </row>
    <row r="17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>
        <v>12422</v>
      </c>
      <c r="E17" s="39" t="n">
        <v>0.5792142972146193</v>
      </c>
      <c r="F17" s="28" t="n">
        <v>7195</v>
      </c>
      <c r="G17" s="27" t="inlineStr"/>
      <c r="H17" s="27" t="inlineStr"/>
      <c r="I17" s="27" t="inlineStr"/>
      <c r="J17" s="27" t="inlineStr"/>
    </row>
    <row r="18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>
        <v>14838</v>
      </c>
      <c r="E18" s="39" t="n">
        <v>0.07649278878555062</v>
      </c>
      <c r="F18" s="28" t="n">
        <v>1135</v>
      </c>
      <c r="G18" s="27" t="inlineStr"/>
      <c r="H18" s="27" t="inlineStr"/>
      <c r="I18" s="27" t="inlineStr"/>
      <c r="J18" s="27" t="inlineStr"/>
    </row>
    <row r="19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>
        <v>19902</v>
      </c>
      <c r="E19" s="39" t="n">
        <v>0.06225504974374435</v>
      </c>
      <c r="F19" s="28" t="n">
        <v>1239</v>
      </c>
      <c r="G19" s="27" t="inlineStr"/>
      <c r="H19" s="27" t="inlineStr"/>
      <c r="I19" s="27" t="inlineStr"/>
      <c r="J19" s="27" t="inlineStr"/>
    </row>
    <row r="20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>
        <v>835</v>
      </c>
      <c r="E20" s="39" t="n">
        <v>0.4263473053892216</v>
      </c>
      <c r="F20" s="28" t="n">
        <v>356</v>
      </c>
      <c r="G20" s="27" t="inlineStr"/>
      <c r="H20" s="27" t="inlineStr"/>
      <c r="I20" s="27" t="inlineStr"/>
      <c r="J20" s="27" t="inlineStr"/>
    </row>
    <row r="2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>
        <v>608</v>
      </c>
      <c r="E21" s="39" t="n">
        <v>0.1299342105263158</v>
      </c>
      <c r="F21" s="28" t="n">
        <v>79</v>
      </c>
      <c r="G21" s="27" t="inlineStr"/>
      <c r="H21" s="27" t="inlineStr"/>
      <c r="I21" s="27" t="inlineStr"/>
      <c r="J21" s="27" t="inlineStr"/>
    </row>
    <row r="22">
      <c r="A22" s="15" t="inlineStr">
        <is>
          <t>3</t>
        </is>
      </c>
      <c r="B22" s="16" t="inlineStr">
        <is>
          <t>ITSS</t>
        </is>
      </c>
      <c r="C22" s="18" t="n">
        <v>5000</v>
      </c>
      <c r="D22" s="18" t="n">
        <v>3555</v>
      </c>
      <c r="E22" s="38" t="n">
        <v>0.3682137834036568</v>
      </c>
      <c r="F22" s="18" t="n">
        <v>1309</v>
      </c>
      <c r="G22" s="40" t="inlineStr"/>
      <c r="H22" s="18" t="n">
        <v>963</v>
      </c>
      <c r="I22" s="18" t="n">
        <v>-4</v>
      </c>
      <c r="J22" s="18" t="n">
        <v>342</v>
      </c>
    </row>
    <row r="23">
      <c r="A23" s="15" t="inlineStr">
        <is>
          <t>4</t>
        </is>
      </c>
      <c r="B23" s="16" t="inlineStr">
        <is>
          <t>CTY VPS</t>
        </is>
      </c>
      <c r="C23" s="18" t="n">
        <v>10000</v>
      </c>
      <c r="D23" s="18" t="n">
        <v>24017</v>
      </c>
      <c r="E23" s="38" t="n">
        <v>0.1173335553982596</v>
      </c>
      <c r="F23" s="18" t="n">
        <v>2818</v>
      </c>
      <c r="G23" s="40" t="inlineStr"/>
      <c r="H23" s="18" t="n">
        <v>16878</v>
      </c>
      <c r="I23" s="18" t="n">
        <v>8706</v>
      </c>
      <c r="J23" s="18" t="n">
        <v>-5354</v>
      </c>
    </row>
    <row r="24">
      <c r="A24" s="25" t="inlineStr">
        <is>
          <t>4.1</t>
        </is>
      </c>
      <c r="B24" s="26" t="inlineStr">
        <is>
          <t xml:space="preserve">  VP VPS - hoạt động KD</t>
        </is>
      </c>
      <c r="C24" s="27" t="inlineStr"/>
      <c r="D24" s="28" t="n">
        <v>24017</v>
      </c>
      <c r="E24" s="39" t="n">
        <v>0.1173335553982596</v>
      </c>
      <c r="F24" s="28" t="n">
        <v>2818</v>
      </c>
      <c r="G24" s="27" t="inlineStr"/>
      <c r="H24" s="28" t="n">
        <v>5389</v>
      </c>
      <c r="I24" s="28" t="n">
        <v>3159</v>
      </c>
      <c r="J24" s="28" t="n">
        <v>588</v>
      </c>
    </row>
    <row r="25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>
        <v>20532</v>
      </c>
      <c r="E25" s="39" t="n">
        <v>0.1263880771478667</v>
      </c>
      <c r="F25" s="28" t="n">
        <v>2595</v>
      </c>
      <c r="G25" s="27" t="inlineStr"/>
      <c r="H25" s="27" t="inlineStr"/>
      <c r="I25" s="27" t="inlineStr"/>
      <c r="J25" s="27" t="inlineStr"/>
    </row>
    <row r="26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>
        <v>2228</v>
      </c>
      <c r="E26" s="39" t="n">
        <v>0.1485637342908438</v>
      </c>
      <c r="F26" s="28" t="n">
        <v>331</v>
      </c>
      <c r="G26" s="27" t="inlineStr"/>
      <c r="H26" s="27" t="inlineStr"/>
      <c r="I26" s="27" t="inlineStr"/>
      <c r="J26" s="27" t="inlineStr"/>
    </row>
    <row r="27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>
        <v>1258</v>
      </c>
      <c r="E27" s="39" t="n">
        <v>-0.08585055643879173</v>
      </c>
      <c r="F27" s="28" t="n">
        <v>-108</v>
      </c>
      <c r="G27" s="27" t="inlineStr"/>
      <c r="H27" s="27" t="inlineStr"/>
      <c r="I27" s="27" t="inlineStr"/>
      <c r="J27" s="27" t="inlineStr"/>
    </row>
    <row r="28">
      <c r="A28" s="25" t="inlineStr">
        <is>
          <t>4.2</t>
        </is>
      </c>
      <c r="B28" s="26" t="inlineStr">
        <is>
          <t xml:space="preserve">  HĐ đầu tư Tài chính</t>
        </is>
      </c>
      <c r="C28" s="27" t="inlineStr"/>
      <c r="D28" s="28" t="n">
        <v>0</v>
      </c>
      <c r="E28" s="39" t="n">
        <v>0</v>
      </c>
      <c r="F28" s="28" t="n">
        <v>0</v>
      </c>
      <c r="G28" s="27" t="inlineStr"/>
      <c r="H28" s="28" t="n">
        <v>11490</v>
      </c>
      <c r="I28" s="28" t="n">
        <v>5547</v>
      </c>
      <c r="J28" s="28" t="n">
        <v>-5942</v>
      </c>
    </row>
    <row r="29">
      <c r="A29" s="15" t="inlineStr">
        <is>
          <t>5</t>
        </is>
      </c>
      <c r="B29" s="16" t="inlineStr">
        <is>
          <t>XESCO (Xem Sơn)</t>
        </is>
      </c>
      <c r="C29" s="18" t="n">
        <v>15000</v>
      </c>
      <c r="D29" s="18" t="n">
        <v>84527</v>
      </c>
      <c r="E29" s="38" t="n">
        <v>0.2683994463307582</v>
      </c>
      <c r="F29" s="18" t="n">
        <v>22687</v>
      </c>
      <c r="G29" s="40" t="inlineStr"/>
      <c r="H29" s="18" t="n">
        <v>16756</v>
      </c>
      <c r="I29" s="18" t="n">
        <v>364</v>
      </c>
      <c r="J29" s="18" t="n">
        <v>6295</v>
      </c>
    </row>
    <row r="30">
      <c r="A30" s="25" t="inlineStr">
        <is>
          <t>5.1</t>
        </is>
      </c>
      <c r="B30" s="26" t="inlineStr">
        <is>
          <t xml:space="preserve">  Xesco - KT</t>
        </is>
      </c>
      <c r="C30" s="27" t="inlineStr"/>
      <c r="D30" s="28" t="n">
        <v>23855</v>
      </c>
      <c r="E30" s="39" t="n">
        <v>0.5542653531754349</v>
      </c>
      <c r="F30" s="28" t="n">
        <v>13222</v>
      </c>
      <c r="G30" s="27" t="inlineStr"/>
      <c r="H30" s="28" t="n">
        <v>10369</v>
      </c>
      <c r="I30" s="28" t="n">
        <v>94</v>
      </c>
      <c r="J30" s="28" t="n">
        <v>2959</v>
      </c>
    </row>
    <row r="3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>
        <v>11785</v>
      </c>
      <c r="E31" s="39" t="n">
        <v>0.6682223165040305</v>
      </c>
      <c r="F31" s="28" t="n">
        <v>7875</v>
      </c>
      <c r="G31" s="27" t="inlineStr"/>
      <c r="H31" s="28" t="n">
        <v>6508</v>
      </c>
      <c r="I31" s="28" t="n">
        <v>-6</v>
      </c>
      <c r="J31" s="28" t="n">
        <v>1362</v>
      </c>
    </row>
    <row r="32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>
        <v>2139</v>
      </c>
      <c r="E32" s="39" t="n">
        <v>0.6002805049088359</v>
      </c>
      <c r="F32" s="28" t="n">
        <v>1284</v>
      </c>
      <c r="G32" s="27" t="inlineStr"/>
      <c r="H32" s="27" t="inlineStr"/>
      <c r="I32" s="27" t="inlineStr"/>
      <c r="J32" s="28" t="n">
        <v>1284</v>
      </c>
    </row>
    <row r="33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>
        <v>9931</v>
      </c>
      <c r="E33" s="39" t="n">
        <v>0.4091229483435707</v>
      </c>
      <c r="F33" s="28" t="n">
        <v>4063</v>
      </c>
      <c r="G33" s="27" t="inlineStr"/>
      <c r="H33" s="28" t="n">
        <v>3861</v>
      </c>
      <c r="I33" s="28" t="n">
        <v>111</v>
      </c>
      <c r="J33" s="28" t="n">
        <v>313</v>
      </c>
    </row>
    <row r="34">
      <c r="A34" s="25" t="inlineStr">
        <is>
          <t>5.2</t>
        </is>
      </c>
      <c r="B34" s="26" t="inlineStr">
        <is>
          <t xml:space="preserve">  Xesco - KD</t>
        </is>
      </c>
      <c r="C34" s="27" t="inlineStr"/>
      <c r="D34" s="28" t="n">
        <v>60672</v>
      </c>
      <c r="E34" s="39" t="n">
        <v>0.1559862869198312</v>
      </c>
      <c r="F34" s="28" t="n">
        <v>9464</v>
      </c>
      <c r="G34" s="27" t="inlineStr"/>
      <c r="H34" s="28" t="n">
        <v>6387</v>
      </c>
      <c r="I34" s="28" t="n">
        <v>149</v>
      </c>
      <c r="J34" s="28" t="n">
        <v>3336</v>
      </c>
    </row>
    <row r="35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>
        <v>3614</v>
      </c>
      <c r="E35" s="39" t="n">
        <v>0.2277255118981738</v>
      </c>
      <c r="F35" s="28" t="n">
        <v>823</v>
      </c>
      <c r="G35" s="27" t="inlineStr"/>
      <c r="H35" s="28" t="n">
        <v>654</v>
      </c>
      <c r="I35" s="28" t="n">
        <v>-3</v>
      </c>
      <c r="J35" s="28" t="n">
        <v>165</v>
      </c>
    </row>
    <row r="36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>
        <v>3426</v>
      </c>
      <c r="E36" s="39" t="n">
        <v>0.3633975481611209</v>
      </c>
      <c r="F36" s="28" t="n">
        <v>1245</v>
      </c>
      <c r="G36" s="27" t="inlineStr"/>
      <c r="H36" s="28" t="n">
        <v>131</v>
      </c>
      <c r="I36" s="28" t="n">
        <v>-2</v>
      </c>
      <c r="J36" s="28" t="n">
        <v>1112</v>
      </c>
    </row>
    <row r="37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>
        <v>27002</v>
      </c>
      <c r="E37" s="39" t="n">
        <v>0.1633212354640397</v>
      </c>
      <c r="F37" s="28" t="n">
        <v>4410</v>
      </c>
      <c r="G37" s="27" t="inlineStr"/>
      <c r="H37" s="28" t="n">
        <v>3591</v>
      </c>
      <c r="I37" s="28" t="n">
        <v>76</v>
      </c>
      <c r="J37" s="28" t="n">
        <v>895</v>
      </c>
    </row>
    <row r="38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>
        <v>23597</v>
      </c>
      <c r="E38" s="39" t="n">
        <v>0.03737763274992584</v>
      </c>
      <c r="F38" s="28" t="n">
        <v>882</v>
      </c>
      <c r="G38" s="27" t="inlineStr"/>
      <c r="H38" s="28" t="n">
        <v>792</v>
      </c>
      <c r="I38" s="28" t="n">
        <v>-22</v>
      </c>
      <c r="J38" s="28" t="n">
        <v>68</v>
      </c>
    </row>
    <row r="39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>
        <v>3033</v>
      </c>
      <c r="E39" s="39" t="n">
        <v>0.6937026046818332</v>
      </c>
      <c r="F39" s="28" t="n">
        <v>2104</v>
      </c>
      <c r="G39" s="27" t="inlineStr"/>
      <c r="H39" s="28" t="n">
        <v>1219</v>
      </c>
      <c r="I39" s="28" t="n">
        <v>-3</v>
      </c>
      <c r="J39" s="28" t="n">
        <v>883</v>
      </c>
    </row>
    <row r="40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7" t="inlineStr"/>
      <c r="E40" s="39" t="n">
        <v>0</v>
      </c>
      <c r="F40" s="27" t="inlineStr"/>
      <c r="G40" s="27" t="inlineStr"/>
      <c r="H40" s="27" t="inlineStr"/>
      <c r="I40" s="28" t="n">
        <v>213</v>
      </c>
      <c r="J40" s="28" t="n">
        <v>213</v>
      </c>
    </row>
    <row r="41">
      <c r="A41" s="10" t="inlineStr">
        <is>
          <t>II</t>
        </is>
      </c>
      <c r="B41" s="11" t="inlineStr">
        <is>
          <t>VPS MIỀN TRUNG</t>
        </is>
      </c>
      <c r="C41" s="13" t="n">
        <v>3000</v>
      </c>
      <c r="D41" s="13" t="n">
        <v>12937</v>
      </c>
      <c r="E41" s="37" t="n">
        <v>0.2056891087578264</v>
      </c>
      <c r="F41" s="13" t="n">
        <v>2661</v>
      </c>
      <c r="G41" s="41" t="inlineStr"/>
      <c r="H41" s="13" t="n">
        <v>1782</v>
      </c>
      <c r="I41" s="13" t="n">
        <v>0</v>
      </c>
      <c r="J41" s="13" t="n">
        <v>880</v>
      </c>
    </row>
    <row r="42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>
        <v>6698</v>
      </c>
      <c r="E42" s="39" t="n">
        <v>0.08584652134965662</v>
      </c>
      <c r="F42" s="28" t="n">
        <v>575</v>
      </c>
      <c r="G42" s="27" t="inlineStr"/>
      <c r="H42" s="27" t="inlineStr"/>
      <c r="I42" s="27" t="inlineStr"/>
      <c r="J42" s="27" t="inlineStr"/>
    </row>
    <row r="43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>
        <v>2028</v>
      </c>
      <c r="E43" s="39" t="n">
        <v>0.1538461538461539</v>
      </c>
      <c r="F43" s="28" t="n">
        <v>312</v>
      </c>
      <c r="G43" s="27" t="inlineStr"/>
      <c r="H43" s="27" t="inlineStr"/>
      <c r="I43" s="27" t="inlineStr"/>
      <c r="J43" s="27" t="inlineStr"/>
    </row>
    <row r="44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>
        <v>898</v>
      </c>
      <c r="E44" s="39" t="n">
        <v>0.0534521158129176</v>
      </c>
      <c r="F44" s="28" t="n">
        <v>48</v>
      </c>
      <c r="G44" s="27" t="inlineStr"/>
      <c r="H44" s="27" t="inlineStr"/>
      <c r="I44" s="27" t="inlineStr"/>
      <c r="J44" s="27" t="inlineStr"/>
    </row>
    <row r="45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>
        <v>1737</v>
      </c>
      <c r="E45" s="39" t="n">
        <v>0.485895221646517</v>
      </c>
      <c r="F45" s="28" t="n">
        <v>844</v>
      </c>
      <c r="G45" s="27" t="inlineStr"/>
      <c r="H45" s="27" t="inlineStr"/>
      <c r="I45" s="27" t="inlineStr"/>
      <c r="J45" s="27" t="inlineStr"/>
    </row>
    <row r="46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>
        <v>743</v>
      </c>
      <c r="E46" s="39" t="n">
        <v>0.6675639300134589</v>
      </c>
      <c r="F46" s="28" t="n">
        <v>496</v>
      </c>
      <c r="G46" s="27" t="inlineStr"/>
      <c r="H46" s="27" t="inlineStr"/>
      <c r="I46" s="27" t="inlineStr"/>
      <c r="J46" s="27" t="inlineStr"/>
    </row>
    <row r="47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>
        <v>478</v>
      </c>
      <c r="E47" s="39" t="n">
        <v>0.6778242677824268</v>
      </c>
      <c r="F47" s="28" t="n">
        <v>324</v>
      </c>
      <c r="G47" s="27" t="inlineStr"/>
      <c r="H47" s="27" t="inlineStr"/>
      <c r="I47" s="27" t="inlineStr"/>
      <c r="J47" s="27" t="inlineStr"/>
    </row>
    <row r="48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>
        <v>355</v>
      </c>
      <c r="E48" s="39" t="n">
        <v>0.1774647887323944</v>
      </c>
      <c r="F48" s="28" t="n">
        <v>63</v>
      </c>
      <c r="G48" s="27" t="inlineStr"/>
      <c r="H48" s="27" t="inlineStr"/>
      <c r="I48" s="27" t="inlineStr"/>
      <c r="J48" s="27" t="inlineStr"/>
    </row>
    <row r="49">
      <c r="A49" s="42" t="inlineStr">
        <is>
          <t>★</t>
        </is>
      </c>
      <c r="B49" s="43" t="inlineStr">
        <is>
          <t>TỔNG CỘNG TOÀN TẬP ĐOÀN</t>
        </is>
      </c>
      <c r="C49" s="44" t="n">
        <v>93000</v>
      </c>
      <c r="D49" s="44" t="n">
        <v>251839</v>
      </c>
      <c r="E49" s="45" t="n">
        <v>0.2216733706852394</v>
      </c>
      <c r="F49" s="44" t="n">
        <v>55826</v>
      </c>
      <c r="G49" s="44" t="n">
        <v>343</v>
      </c>
      <c r="H49" s="44" t="n">
        <v>58063</v>
      </c>
      <c r="I49" s="44" t="n">
        <v>9492</v>
      </c>
      <c r="J49" s="44" t="n">
        <v>7230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46" t="inlineStr">
        <is>
          <t>QUY CHUẨN NHẬP LIỆU BÁO CÁO KẾT QUẢ KINH DOANH (P&amp;L) CÁC ĐƠN VỊ</t>
        </is>
      </c>
    </row>
    <row r="2" ht="20" customHeight="1">
      <c r="A2" s="47" t="inlineStr">
        <is>
          <t>TẬP ĐOÀN VPS - ÁP DỤNG TỪ THÁNG 09/2026 ĐẾN THÁNG 12/2026</t>
        </is>
      </c>
    </row>
    <row r="3" ht="10" customHeight="1">
      <c r="A3" s="48" t="inlineStr"/>
    </row>
    <row r="4" ht="20" customHeight="1">
      <c r="A4" s="49" t="inlineStr">
        <is>
          <t>1. NGUYÊN TẮC NHẬP LIỆU:</t>
        </is>
      </c>
    </row>
    <row r="5" ht="20" customHeight="1">
      <c r="A5" s="48" t="inlineStr">
        <is>
          <t>- Đơn vị tính thống nhất toàn tập đoàn: Triệu đồng (Tr.đ).</t>
        </is>
      </c>
    </row>
    <row r="6" ht="20" customHeight="1">
      <c r="A6" s="48" t="inlineStr">
        <is>
          <t>- Các đơn vị THÀNH VIÊN chỉ cần nhập liệu vào CÁC CỘT PHÁT SINH TRONG THÁNG:</t>
        </is>
      </c>
    </row>
    <row r="7" ht="20" customHeight="1">
      <c r="A7" s="48" t="inlineStr">
        <is>
          <t xml:space="preserve">   + Cột D: Doanh số (DS) phát sinh trong tháng.</t>
        </is>
      </c>
    </row>
    <row r="8" ht="20" customHeight="1">
      <c r="A8" s="48" t="inlineStr">
        <is>
          <t xml:space="preserve">   + Cột F: Lãi gộp (LG) phát sinh trong tháng.</t>
        </is>
      </c>
    </row>
    <row r="9" ht="20" customHeight="1">
      <c r="A9" s="48" t="inlineStr">
        <is>
          <t xml:space="preserve">   + Cột G: Hỗ trợ Lãi gộp (HT LG) nếu có.</t>
        </is>
      </c>
    </row>
    <row r="10" ht="20" customHeight="1">
      <c r="A10" s="48" t="inlineStr">
        <is>
          <t xml:space="preserve">   + Cột H: Tổng chi phí hoạt động phát sinh trong tháng.</t>
        </is>
      </c>
    </row>
    <row r="11" ht="20" customHeight="1">
      <c r="A11" s="48" t="inlineStr">
        <is>
          <t xml:space="preserve">   + Cột I: Thu nhập khác (nếu có).</t>
        </is>
      </c>
    </row>
    <row r="12" ht="20" customHeight="1">
      <c r="A12" s="48" t="inlineStr">
        <is>
          <t xml:space="preserve">   + Cột J: Chi phí khác (nếu có).</t>
        </is>
      </c>
    </row>
    <row r="13" ht="20" customHeight="1">
      <c r="A13" s="48" t="inlineStr">
        <is>
          <t>- CÁC CỘT CÔNG THỨC ĐÃ CÀI ĐẶT TỰ ĐỘNG:</t>
        </is>
      </c>
    </row>
    <row r="14" ht="20" customHeight="1">
      <c r="A14" s="50" t="inlineStr">
        <is>
          <t xml:space="preserve">   + Cột E (% LG phát sinh): Tự động = LG / DS.</t>
        </is>
      </c>
    </row>
    <row r="15" ht="20" customHeight="1">
      <c r="A15" s="50" t="inlineStr">
        <is>
          <t xml:space="preserve">   + Cột K (LNTT phát sinh): Tự động = LG + HT LG - Chi phí + TN Khác - CP Khác.</t>
        </is>
      </c>
    </row>
    <row r="16" ht="20" customHeight="1">
      <c r="A16" s="50" t="inlineStr">
        <is>
          <t xml:space="preserve">   + Cột L -&gt; R (Toàn bộ lũy kế): Tự động cộng kế thừa từ mốc Tháng 8 chốt sổ mà không cần nhập thủ công!</t>
        </is>
      </c>
    </row>
    <row r="17" ht="10" customHeight="1">
      <c r="A17" s="48" t="inlineStr"/>
    </row>
    <row r="18" ht="20" customHeight="1">
      <c r="A18" s="49" t="inlineStr">
        <is>
          <t>2. CÁCH ĐẶT TÊN TAB KHI ĐƯA LÊN GOOGLE SHEETS:</t>
        </is>
      </c>
    </row>
    <row r="19" ht="20" customHeight="1">
      <c r="A19" s="51" t="inlineStr">
        <is>
          <t>- Tháng 9: Đặt tên tab là Thang_09 (hoặc Tháng 9)</t>
        </is>
      </c>
    </row>
    <row r="20" ht="20" customHeight="1">
      <c r="A20" s="51" t="inlineStr">
        <is>
          <t>- Tháng 10: Đặt tên tab là Thang_10 (hoặc Tháng 10)</t>
        </is>
      </c>
    </row>
    <row r="21" ht="20" customHeight="1">
      <c r="A21" s="51" t="inlineStr">
        <is>
          <t>- Tháng 11: Đặt tên tab là Thang_11 (hoặc Tháng 11)</t>
        </is>
      </c>
    </row>
    <row r="22" ht="20" customHeight="1">
      <c r="A22" s="51" t="inlineStr">
        <is>
          <t>- Tháng 12: Đặt tên tab là Thang_12 (hoặc Tháng 12)</t>
        </is>
      </c>
    </row>
    <row r="23" ht="20" customHeight="1">
      <c r="A23" s="50" t="inlineStr">
        <is>
          <t>- Hệ thống Dashboard VPS sẽ tự động nhận diện và quét đúng tab mà không bao giờ bị lệch hay đè nhầm số liệu.</t>
        </is>
      </c>
    </row>
    <row r="24" ht="10" customHeight="1">
      <c r="A24" s="48" t="inlineStr"/>
    </row>
    <row r="25" ht="20" customHeight="1">
      <c r="A25" s="49" t="inlineStr">
        <is>
          <t>3. MỐC LŨY KẾ THÁNG 8/2026 ĐÃ CHỐT ĐỂ ĐỐI SOÁT:</t>
        </is>
      </c>
    </row>
    <row r="26" ht="20" customHeight="1">
      <c r="A26" s="52" t="inlineStr">
        <is>
          <t>- Doanh số toàn tập đoàn lũy kế 8 tháng: 251,839 Tr.đ</t>
        </is>
      </c>
    </row>
    <row r="27" ht="20" customHeight="1">
      <c r="A27" s="52" t="inlineStr">
        <is>
          <t>- Lãi gộp toàn tập đoàn lũy kế 8 tháng: 55,826 Tr.đ (Tỷ lệ LG: 22%)</t>
        </is>
      </c>
    </row>
    <row r="28" ht="20" customHeight="1">
      <c r="A28" s="52" t="inlineStr">
        <is>
          <t>- Lợi nhuận trước thuế (LNTT) lũy kế 8 tháng: 7,230 Tr.đ</t>
        </is>
      </c>
    </row>
    <row r="29" ht="20" customHeight="1">
      <c r="A29" s="48" t="inlineStr">
        <is>
          <t>- Báo cáo phát sinh Tháng 9 sẽ bắt đầu cộng dồn tiếp tục từ mốc 251,839 Tr.đ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2026-09-16T10:05:01Z</dcterms:created>
  <dcterms:modified xmlns:dcterms="http://purl.org/dc/terms/" xmlns:xsi="http://www.w3.org/2001/XMLSchema-instance" xsi:type="dcterms:W3CDTF">2026-09-16T10:05:01Z</dcterms:modified>
</cp:coreProperties>
</file>