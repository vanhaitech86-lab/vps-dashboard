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Chi Phí Tháng" state="visible" r:id="rId4"/>
  </sheets>
  <calcPr calcId="171027"/>
</workbook>
</file>

<file path=xl/sharedStrings.xml><?xml version="1.0" encoding="utf-8"?>
<sst xmlns="http://schemas.openxmlformats.org/spreadsheetml/2006/main" count="108" uniqueCount="90">
  <si>
    <t>STT</t>
  </si>
  <si>
    <t>NỘI DUNG</t>
  </si>
  <si>
    <t>KẾ HOẠCH</t>
  </si>
  <si>
    <t>THỰC HIỆN</t>
  </si>
  <si>
    <t xml:space="preserve">TỶ LỆ
(TH/KH)</t>
  </si>
  <si>
    <t>TRONG ĐÓ</t>
  </si>
  <si>
    <t xml:space="preserve">DỊCH VỤ
KỸ THUẬT</t>
  </si>
  <si>
    <t xml:space="preserve">KD BÁN
BUÔN</t>
  </si>
  <si>
    <t xml:space="preserve">KD BÁN LẺ
TỔNG HỢP</t>
  </si>
  <si>
    <t>KD DỰ ÁN</t>
  </si>
  <si>
    <t xml:space="preserve">KD THUÊ
MÁY</t>
  </si>
  <si>
    <t>KD KHÁC</t>
  </si>
  <si>
    <t>KẾ TOÁN</t>
  </si>
  <si>
    <t xml:space="preserve">BỘ PHẬN
KHÁC</t>
  </si>
  <si>
    <t>A</t>
  </si>
  <si>
    <t>TỔNG CHI PHÍ</t>
  </si>
  <si>
    <t>I</t>
  </si>
  <si>
    <t>Chi phí cố định</t>
  </si>
  <si>
    <t>1</t>
  </si>
  <si>
    <t>Chi phí nhân sự cố định</t>
  </si>
  <si>
    <t/>
  </si>
  <si>
    <t>Tiền lương + phụ cấp ăn trưa</t>
  </si>
  <si>
    <t>Tiền lương kinh doanh hệ số K</t>
  </si>
  <si>
    <t>Thưởng bán hàng, KPI, lễ tết</t>
  </si>
  <si>
    <t>Bảo hiểm xã hội trích theo lương cố định</t>
  </si>
  <si>
    <t>2</t>
  </si>
  <si>
    <t>Chi phí cố định khác</t>
  </si>
  <si>
    <t>Thuê nhà, thuê kho</t>
  </si>
  <si>
    <t>Khấu hao tài sản cố định (TSCĐ)</t>
  </si>
  <si>
    <t>Phân bổ công cụ dụng cụ (CCDC)</t>
  </si>
  <si>
    <t>Thanh lý TSCĐ, CCDC</t>
  </si>
  <si>
    <t>Chi phí trích nộp cty mẹ VPS (trừ CF thuê nhà, thuê kho)</t>
  </si>
  <si>
    <t>II</t>
  </si>
  <si>
    <t>Chi phí biến đổi</t>
  </si>
  <si>
    <t>Điện</t>
  </si>
  <si>
    <t>Điện thoại, Internet</t>
  </si>
  <si>
    <t>3</t>
  </si>
  <si>
    <t>Nước sinh hoạt, phí vệ sinh</t>
  </si>
  <si>
    <t>4</t>
  </si>
  <si>
    <t>Vận chuyển hàng, taxi</t>
  </si>
  <si>
    <t>5</t>
  </si>
  <si>
    <t>Chuyển phát nhanh</t>
  </si>
  <si>
    <t>6</t>
  </si>
  <si>
    <t>Công tác phí</t>
  </si>
  <si>
    <t>7</t>
  </si>
  <si>
    <t>Tiếp khách, biếu tặng</t>
  </si>
  <si>
    <t>8</t>
  </si>
  <si>
    <t>Xăng xe nhân viên giao nhận, xe ôm, grap</t>
  </si>
  <si>
    <t>9</t>
  </si>
  <si>
    <t>Xuất vật tư bảo hành</t>
  </si>
  <si>
    <t>10</t>
  </si>
  <si>
    <t>Xuất dán, xuất dùng</t>
  </si>
  <si>
    <t>11</t>
  </si>
  <si>
    <t>Gửi xe nhân viên</t>
  </si>
  <si>
    <t>12</t>
  </si>
  <si>
    <t>Văn phòng phẩm</t>
  </si>
  <si>
    <t>13</t>
  </si>
  <si>
    <t>Công cụ dụng cụ tiêu hao dùng ngay</t>
  </si>
  <si>
    <t>14</t>
  </si>
  <si>
    <t>Hồ sơ thầu, thủ tục XNK</t>
  </si>
  <si>
    <t>15</t>
  </si>
  <si>
    <t>Giao dịch ngân hàng</t>
  </si>
  <si>
    <t>16</t>
  </si>
  <si>
    <t>Xây dựng, sửa chữa nhỏ</t>
  </si>
  <si>
    <t>17</t>
  </si>
  <si>
    <t>Đồ lễ thắp hương, nước uống</t>
  </si>
  <si>
    <t>18</t>
  </si>
  <si>
    <t>Nghỉ mát</t>
  </si>
  <si>
    <t>19</t>
  </si>
  <si>
    <t>Bảo hiểm hàng hóa</t>
  </si>
  <si>
    <t>20</t>
  </si>
  <si>
    <t>Bảo vệ kho</t>
  </si>
  <si>
    <t>21</t>
  </si>
  <si>
    <t>Định giá tài sản</t>
  </si>
  <si>
    <t>22</t>
  </si>
  <si>
    <t>Chi phí tuyển dụng</t>
  </si>
  <si>
    <t>23</t>
  </si>
  <si>
    <t>Chi phí Dự án</t>
  </si>
  <si>
    <t>24</t>
  </si>
  <si>
    <t>Chi phí khác</t>
  </si>
  <si>
    <t>III</t>
  </si>
  <si>
    <t>Chi phí lãi vay</t>
  </si>
  <si>
    <t>Lãi vay</t>
  </si>
  <si>
    <t>IV</t>
  </si>
  <si>
    <t>DOANH SỐ VÀ LÃI GỘP</t>
  </si>
  <si>
    <t>Doanh số</t>
  </si>
  <si>
    <t>Lãi gộp</t>
  </si>
  <si>
    <t>Tỷ lệ lãi gộp (%)</t>
  </si>
  <si>
    <t>Tỷ lệ quy đổi</t>
  </si>
  <si>
    <t>Doanh số quy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</si>
</sst>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9.5"/>
      <name val="Arial"/>
    </font>
    <font>
      <b/>
      <color rgb="FF000000"/>
      <sz val="10"/>
      <name val="Arial"/>
    </font>
    <font>
      <color rgb="FF000000"/>
      <sz val="9.5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4472C4"/>
      </top>
      <bottom style="medium">
        <color rgb="FF4472C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4" fontId="2" fillId="5" borderId="2" xfId="0" applyNumberFormat="1" applyFont="1" applyFill="1" applyBorder="1" applyAlignment="1">
      <alignment horizontal="right" vertical="center"/>
    </xf>
    <xf numFmtId="164" fontId="2" fillId="5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4" fontId="2" fillId="6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4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4" fontId="2" fillId="7" borderId="2" xfId="0" applyNumberFormat="1" applyFont="1" applyFill="1" applyBorder="1" applyAlignment="1">
      <alignment horizontal="right" vertical="center"/>
    </xf>
    <xf numFmtId="164" fontId="2" fillId="7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4" fontId="2" fillId="8" borderId="2" xfId="0" applyNumberFormat="1" applyFont="1" applyFill="1" applyBorder="1" applyAlignment="1">
      <alignment horizontal="right" vertical="center"/>
    </xf>
    <xf numFmtId="164" fontId="2" fillId="8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42" customWidth="1"/>
    <col min="3" max="4" width="16" customWidth="1"/>
    <col min="5" max="5" width="14" customWidth="1"/>
    <col min="6" max="10" width="16" customWidth="1"/>
    <col min="11" max="12" width="15" customWidth="1"/>
    <col min="13" max="13" width="16" customWidth="1"/>
  </cols>
  <sheetData>
    <row r="1" ht="24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2"/>
      <c r="J1" s="2"/>
      <c r="K1" s="2"/>
      <c r="L1" s="2"/>
      <c r="M1" s="2"/>
    </row>
    <row r="2" ht="28" customHeight="1" spans="1:13" x14ac:dyDescent="0.25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ht="20" customHeight="1" spans="1:13" x14ac:dyDescent="0.25">
      <c r="A3" s="3" t="s">
        <v>14</v>
      </c>
      <c r="B3" s="4" t="s">
        <v>15</v>
      </c>
      <c r="C3" s="5">
        <f>C4+C16+C41</f>
      </c>
      <c r="D3" s="5">
        <f>D4+D16+D41</f>
      </c>
      <c r="E3" s="6">
        <f>IF(C3&gt;0, D3/C3, 0)</f>
      </c>
      <c r="F3" s="5">
        <f>F4+F16+F41</f>
      </c>
      <c r="G3" s="5">
        <f>G4+G16+G41</f>
      </c>
      <c r="H3" s="5">
        <f>H4+H16+H41</f>
      </c>
      <c r="I3" s="5">
        <f>I4+I16+I41</f>
      </c>
      <c r="J3" s="5">
        <f>J4+J16+J41</f>
      </c>
      <c r="K3" s="5">
        <f>K4+K16+K41</f>
      </c>
      <c r="L3" s="5">
        <f>L4+L16+L41</f>
      </c>
      <c r="M3" s="5">
        <f>M4+M16+M41</f>
      </c>
    </row>
    <row r="4" ht="20" customHeight="1" spans="1:13" x14ac:dyDescent="0.25">
      <c r="A4" s="7" t="s">
        <v>16</v>
      </c>
      <c r="B4" s="8" t="s">
        <v>17</v>
      </c>
      <c r="C4" s="9">
        <f>C5+C10</f>
      </c>
      <c r="D4" s="9">
        <f>D5+D10</f>
      </c>
      <c r="E4" s="10">
        <f>IF(C4&gt;0, D4/C4, 0)</f>
      </c>
      <c r="F4" s="9">
        <f>F5+F10</f>
      </c>
      <c r="G4" s="9">
        <f>G5+G10</f>
      </c>
      <c r="H4" s="9">
        <f>H5+H10</f>
      </c>
      <c r="I4" s="9">
        <f>I5+I10</f>
      </c>
      <c r="J4" s="9">
        <f>J5+J10</f>
      </c>
      <c r="K4" s="9">
        <f>K5+K10</f>
      </c>
      <c r="L4" s="9">
        <f>L5+L10</f>
      </c>
      <c r="M4" s="9">
        <f>M5+M10</f>
      </c>
    </row>
    <row r="5" ht="20" customHeight="1" spans="1:13" x14ac:dyDescent="0.25">
      <c r="A5" s="11" t="s">
        <v>18</v>
      </c>
      <c r="B5" s="12" t="s">
        <v>19</v>
      </c>
      <c r="C5" s="13">
        <f>SUM(C6:C9)</f>
      </c>
      <c r="D5" s="13">
        <f>SUM(D6:D9)</f>
      </c>
      <c r="E5" s="14">
        <f>IF(C5&gt;0, D5/C5, 0)</f>
      </c>
      <c r="F5" s="13">
        <f>SUM(F6:F9)</f>
      </c>
      <c r="G5" s="13">
        <f>SUM(G6:G9)</f>
      </c>
      <c r="H5" s="13">
        <f>SUM(H6:H9)</f>
      </c>
      <c r="I5" s="13">
        <f>SUM(I6:I9)</f>
      </c>
      <c r="J5" s="13">
        <f>SUM(J6:J9)</f>
      </c>
      <c r="K5" s="13">
        <f>SUM(K6:K9)</f>
      </c>
      <c r="L5" s="13">
        <f>SUM(L6:L9)</f>
      </c>
      <c r="M5" s="13">
        <f>SUM(M6:M9)</f>
      </c>
    </row>
    <row r="6" ht="20" customHeight="1" spans="1:13" x14ac:dyDescent="0.25">
      <c r="A6" s="15" t="s">
        <v>20</v>
      </c>
      <c r="B6" s="16" t="s">
        <v>21</v>
      </c>
      <c r="C6" s="17">
        <v>0</v>
      </c>
      <c r="D6" s="17">
        <v>0</v>
      </c>
      <c r="E6" s="18">
        <f>IF(C6&gt;0, D6/C6, 0)</f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</row>
    <row r="7" ht="20" customHeight="1" spans="1:13" x14ac:dyDescent="0.25">
      <c r="A7" s="15" t="s">
        <v>20</v>
      </c>
      <c r="B7" s="16" t="s">
        <v>22</v>
      </c>
      <c r="C7" s="17">
        <v>0</v>
      </c>
      <c r="D7" s="17">
        <v>0</v>
      </c>
      <c r="E7" s="18">
        <f>IF(C7&gt;0, D7/C7, 0)</f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</row>
    <row r="8" ht="20" customHeight="1" spans="1:13" x14ac:dyDescent="0.25">
      <c r="A8" s="15" t="s">
        <v>20</v>
      </c>
      <c r="B8" s="16" t="s">
        <v>23</v>
      </c>
      <c r="C8" s="17">
        <v>0</v>
      </c>
      <c r="D8" s="17">
        <v>0</v>
      </c>
      <c r="E8" s="18">
        <f>IF(C8&gt;0, D8/C8, 0)</f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</row>
    <row r="9" ht="20" customHeight="1" spans="1:13" x14ac:dyDescent="0.25">
      <c r="A9" s="15" t="s">
        <v>20</v>
      </c>
      <c r="B9" s="16" t="s">
        <v>24</v>
      </c>
      <c r="C9" s="17">
        <v>0</v>
      </c>
      <c r="D9" s="17">
        <v>0</v>
      </c>
      <c r="E9" s="18">
        <f>IF(C9&gt;0, D9/C9, 0)</f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</row>
    <row r="10" ht="20" customHeight="1" spans="1:13" x14ac:dyDescent="0.25">
      <c r="A10" s="19" t="s">
        <v>25</v>
      </c>
      <c r="B10" s="20" t="s">
        <v>26</v>
      </c>
      <c r="C10" s="21">
        <f>SUM(C11:C15)</f>
      </c>
      <c r="D10" s="21">
        <f>SUM(D11:D15)</f>
      </c>
      <c r="E10" s="22">
        <f>IF(C10&gt;0, D10/C10, 0)</f>
      </c>
      <c r="F10" s="21">
        <f>SUM(F11:F15)</f>
      </c>
      <c r="G10" s="21">
        <f>SUM(G11:G15)</f>
      </c>
      <c r="H10" s="21">
        <f>SUM(H11:H15)</f>
      </c>
      <c r="I10" s="21">
        <f>SUM(I11:I15)</f>
      </c>
      <c r="J10" s="21">
        <f>SUM(J11:J15)</f>
      </c>
      <c r="K10" s="21">
        <f>SUM(K11:K15)</f>
      </c>
      <c r="L10" s="21">
        <f>SUM(L11:L15)</f>
      </c>
      <c r="M10" s="21">
        <f>SUM(M11:M15)</f>
      </c>
    </row>
    <row r="11" ht="20" customHeight="1" spans="1:13" x14ac:dyDescent="0.25">
      <c r="A11" s="15" t="s">
        <v>20</v>
      </c>
      <c r="B11" s="16" t="s">
        <v>27</v>
      </c>
      <c r="C11" s="17">
        <v>0</v>
      </c>
      <c r="D11" s="17">
        <v>0</v>
      </c>
      <c r="E11" s="18">
        <f>IF(C11&gt;0, D11/C11, 0)</f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</row>
    <row r="12" ht="20" customHeight="1" spans="1:13" x14ac:dyDescent="0.25">
      <c r="A12" s="15" t="s">
        <v>20</v>
      </c>
      <c r="B12" s="16" t="s">
        <v>28</v>
      </c>
      <c r="C12" s="17">
        <v>0</v>
      </c>
      <c r="D12" s="17">
        <v>0</v>
      </c>
      <c r="E12" s="18">
        <f>IF(C12&gt;0, D12/C12, 0)</f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</row>
    <row r="13" ht="20" customHeight="1" spans="1:13" x14ac:dyDescent="0.25">
      <c r="A13" s="15" t="s">
        <v>20</v>
      </c>
      <c r="B13" s="16" t="s">
        <v>29</v>
      </c>
      <c r="C13" s="17">
        <v>0</v>
      </c>
      <c r="D13" s="17">
        <v>0</v>
      </c>
      <c r="E13" s="18">
        <f>IF(C13&gt;0, D13/C13, 0)</f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</row>
    <row r="14" ht="20" customHeight="1" spans="1:13" x14ac:dyDescent="0.25">
      <c r="A14" s="15" t="s">
        <v>20</v>
      </c>
      <c r="B14" s="16" t="s">
        <v>30</v>
      </c>
      <c r="C14" s="17">
        <v>0</v>
      </c>
      <c r="D14" s="17">
        <v>0</v>
      </c>
      <c r="E14" s="18">
        <f>IF(C14&gt;0, D14/C14, 0)</f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</row>
    <row r="15" ht="20" customHeight="1" spans="1:13" x14ac:dyDescent="0.25">
      <c r="A15" s="15" t="s">
        <v>20</v>
      </c>
      <c r="B15" s="16" t="s">
        <v>31</v>
      </c>
      <c r="C15" s="17">
        <v>0</v>
      </c>
      <c r="D15" s="17">
        <v>0</v>
      </c>
      <c r="E15" s="18">
        <f>IF(C15&gt;0, D15/C15, 0)</f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</row>
    <row r="16" ht="20" customHeight="1" spans="1:13" x14ac:dyDescent="0.25">
      <c r="A16" s="7" t="s">
        <v>32</v>
      </c>
      <c r="B16" s="8" t="s">
        <v>33</v>
      </c>
      <c r="C16" s="9">
        <f>SUM(C17:C40)</f>
      </c>
      <c r="D16" s="9">
        <f>SUM(D17:D40)</f>
      </c>
      <c r="E16" s="10">
        <f>IF(C16&gt;0, D16/C16, 0)</f>
      </c>
      <c r="F16" s="9">
        <f>SUM(F17:F40)</f>
      </c>
      <c r="G16" s="9">
        <f>SUM(G17:G40)</f>
      </c>
      <c r="H16" s="9">
        <f>SUM(H17:H40)</f>
      </c>
      <c r="I16" s="9">
        <f>SUM(I17:I40)</f>
      </c>
      <c r="J16" s="9">
        <f>SUM(J17:J40)</f>
      </c>
      <c r="K16" s="9">
        <f>SUM(K17:K40)</f>
      </c>
      <c r="L16" s="9">
        <f>SUM(L17:L40)</f>
      </c>
      <c r="M16" s="9">
        <f>SUM(M17:M40)</f>
      </c>
    </row>
    <row r="17" ht="20" customHeight="1" spans="1:13" x14ac:dyDescent="0.25">
      <c r="A17" s="15" t="s">
        <v>18</v>
      </c>
      <c r="B17" s="16" t="s">
        <v>34</v>
      </c>
      <c r="C17" s="17">
        <v>0</v>
      </c>
      <c r="D17" s="17">
        <v>0</v>
      </c>
      <c r="E17" s="18">
        <f>IF(C17&gt;0, D17/C17, 0)</f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</row>
    <row r="18" ht="20" customHeight="1" spans="1:13" x14ac:dyDescent="0.25">
      <c r="A18" s="15" t="s">
        <v>25</v>
      </c>
      <c r="B18" s="16" t="s">
        <v>35</v>
      </c>
      <c r="C18" s="17">
        <v>0</v>
      </c>
      <c r="D18" s="17">
        <v>0</v>
      </c>
      <c r="E18" s="18">
        <f>IF(C18&gt;0, D18/C18, 0)</f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</row>
    <row r="19" ht="20" customHeight="1" spans="1:13" x14ac:dyDescent="0.25">
      <c r="A19" s="15" t="s">
        <v>36</v>
      </c>
      <c r="B19" s="16" t="s">
        <v>37</v>
      </c>
      <c r="C19" s="17">
        <v>0</v>
      </c>
      <c r="D19" s="17">
        <v>0</v>
      </c>
      <c r="E19" s="18">
        <f>IF(C19&gt;0, D19/C19, 0)</f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</row>
    <row r="20" ht="20" customHeight="1" spans="1:13" x14ac:dyDescent="0.25">
      <c r="A20" s="15" t="s">
        <v>38</v>
      </c>
      <c r="B20" s="16" t="s">
        <v>39</v>
      </c>
      <c r="C20" s="17">
        <v>0</v>
      </c>
      <c r="D20" s="17">
        <v>0</v>
      </c>
      <c r="E20" s="18">
        <f>IF(C20&gt;0, D20/C20, 0)</f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</row>
    <row r="21" ht="20" customHeight="1" spans="1:13" x14ac:dyDescent="0.25">
      <c r="A21" s="15" t="s">
        <v>40</v>
      </c>
      <c r="B21" s="16" t="s">
        <v>41</v>
      </c>
      <c r="C21" s="17">
        <v>0</v>
      </c>
      <c r="D21" s="17">
        <v>0</v>
      </c>
      <c r="E21" s="18">
        <f>IF(C21&gt;0, D21/C21, 0)</f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</row>
    <row r="22" ht="20" customHeight="1" spans="1:13" x14ac:dyDescent="0.25">
      <c r="A22" s="15" t="s">
        <v>42</v>
      </c>
      <c r="B22" s="16" t="s">
        <v>43</v>
      </c>
      <c r="C22" s="17">
        <v>0</v>
      </c>
      <c r="D22" s="17">
        <v>0</v>
      </c>
      <c r="E22" s="18">
        <f>IF(C22&gt;0, D22/C22, 0)</f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</row>
    <row r="23" ht="20" customHeight="1" spans="1:13" x14ac:dyDescent="0.25">
      <c r="A23" s="15" t="s">
        <v>44</v>
      </c>
      <c r="B23" s="16" t="s">
        <v>45</v>
      </c>
      <c r="C23" s="17">
        <v>0</v>
      </c>
      <c r="D23" s="17">
        <v>0</v>
      </c>
      <c r="E23" s="18">
        <f>IF(C23&gt;0, D23/C23, 0)</f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</row>
    <row r="24" ht="20" customHeight="1" spans="1:13" x14ac:dyDescent="0.25">
      <c r="A24" s="15" t="s">
        <v>46</v>
      </c>
      <c r="B24" s="16" t="s">
        <v>47</v>
      </c>
      <c r="C24" s="17">
        <v>0</v>
      </c>
      <c r="D24" s="17">
        <v>0</v>
      </c>
      <c r="E24" s="18">
        <f>IF(C24&gt;0, D24/C24, 0)</f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</row>
    <row r="25" ht="20" customHeight="1" spans="1:13" x14ac:dyDescent="0.25">
      <c r="A25" s="15" t="s">
        <v>48</v>
      </c>
      <c r="B25" s="16" t="s">
        <v>49</v>
      </c>
      <c r="C25" s="17">
        <v>0</v>
      </c>
      <c r="D25" s="17">
        <v>0</v>
      </c>
      <c r="E25" s="18">
        <f>IF(C25&gt;0, D25/C25, 0)</f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</row>
    <row r="26" ht="20" customHeight="1" spans="1:13" x14ac:dyDescent="0.25">
      <c r="A26" s="15" t="s">
        <v>50</v>
      </c>
      <c r="B26" s="16" t="s">
        <v>51</v>
      </c>
      <c r="C26" s="17">
        <v>0</v>
      </c>
      <c r="D26" s="17">
        <v>0</v>
      </c>
      <c r="E26" s="18">
        <f>IF(C26&gt;0, D26/C26, 0)</f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</row>
    <row r="27" ht="20" customHeight="1" spans="1:13" x14ac:dyDescent="0.25">
      <c r="A27" s="15" t="s">
        <v>52</v>
      </c>
      <c r="B27" s="16" t="s">
        <v>53</v>
      </c>
      <c r="C27" s="17">
        <v>0</v>
      </c>
      <c r="D27" s="17">
        <v>0</v>
      </c>
      <c r="E27" s="18">
        <f>IF(C27&gt;0, D27/C27, 0)</f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</row>
    <row r="28" ht="20" customHeight="1" spans="1:13" x14ac:dyDescent="0.25">
      <c r="A28" s="15" t="s">
        <v>54</v>
      </c>
      <c r="B28" s="16" t="s">
        <v>55</v>
      </c>
      <c r="C28" s="17">
        <v>0</v>
      </c>
      <c r="D28" s="17">
        <v>0</v>
      </c>
      <c r="E28" s="18">
        <f>IF(C28&gt;0, D28/C28, 0)</f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</row>
    <row r="29" ht="20" customHeight="1" spans="1:13" x14ac:dyDescent="0.25">
      <c r="A29" s="15" t="s">
        <v>56</v>
      </c>
      <c r="B29" s="16" t="s">
        <v>57</v>
      </c>
      <c r="C29" s="17">
        <v>0</v>
      </c>
      <c r="D29" s="17">
        <v>0</v>
      </c>
      <c r="E29" s="18">
        <f>IF(C29&gt;0, D29/C29, 0)</f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</row>
    <row r="30" ht="20" customHeight="1" spans="1:13" x14ac:dyDescent="0.25">
      <c r="A30" s="15" t="s">
        <v>58</v>
      </c>
      <c r="B30" s="16" t="s">
        <v>59</v>
      </c>
      <c r="C30" s="17">
        <v>0</v>
      </c>
      <c r="D30" s="17">
        <v>0</v>
      </c>
      <c r="E30" s="18">
        <f>IF(C30&gt;0, D30/C30, 0)</f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</row>
    <row r="31" ht="20" customHeight="1" spans="1:13" x14ac:dyDescent="0.25">
      <c r="A31" s="15" t="s">
        <v>60</v>
      </c>
      <c r="B31" s="16" t="s">
        <v>61</v>
      </c>
      <c r="C31" s="17">
        <v>0</v>
      </c>
      <c r="D31" s="17">
        <v>0</v>
      </c>
      <c r="E31" s="18">
        <f>IF(C31&gt;0, D31/C31, 0)</f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</row>
    <row r="32" ht="20" customHeight="1" spans="1:13" x14ac:dyDescent="0.25">
      <c r="A32" s="15" t="s">
        <v>62</v>
      </c>
      <c r="B32" s="16" t="s">
        <v>63</v>
      </c>
      <c r="C32" s="17">
        <v>0</v>
      </c>
      <c r="D32" s="17">
        <v>0</v>
      </c>
      <c r="E32" s="18">
        <f>IF(C32&gt;0, D32/C32, 0)</f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</row>
    <row r="33" ht="20" customHeight="1" spans="1:13" x14ac:dyDescent="0.25">
      <c r="A33" s="15" t="s">
        <v>64</v>
      </c>
      <c r="B33" s="16" t="s">
        <v>65</v>
      </c>
      <c r="C33" s="17">
        <v>0</v>
      </c>
      <c r="D33" s="17">
        <v>0</v>
      </c>
      <c r="E33" s="18">
        <f>IF(C33&gt;0, D33/C33, 0)</f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</row>
    <row r="34" ht="20" customHeight="1" spans="1:13" x14ac:dyDescent="0.25">
      <c r="A34" s="15" t="s">
        <v>66</v>
      </c>
      <c r="B34" s="16" t="s">
        <v>67</v>
      </c>
      <c r="C34" s="17">
        <v>0</v>
      </c>
      <c r="D34" s="17">
        <v>0</v>
      </c>
      <c r="E34" s="18">
        <f>IF(C34&gt;0, D34/C34, 0)</f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</row>
    <row r="35" ht="20" customHeight="1" spans="1:13" x14ac:dyDescent="0.25">
      <c r="A35" s="15" t="s">
        <v>68</v>
      </c>
      <c r="B35" s="16" t="s">
        <v>69</v>
      </c>
      <c r="C35" s="17">
        <v>0</v>
      </c>
      <c r="D35" s="17">
        <v>0</v>
      </c>
      <c r="E35" s="18">
        <f>IF(C35&gt;0, D35/C35, 0)</f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</row>
    <row r="36" ht="20" customHeight="1" spans="1:13" x14ac:dyDescent="0.25">
      <c r="A36" s="15" t="s">
        <v>70</v>
      </c>
      <c r="B36" s="16" t="s">
        <v>71</v>
      </c>
      <c r="C36" s="17">
        <v>0</v>
      </c>
      <c r="D36" s="17">
        <v>0</v>
      </c>
      <c r="E36" s="18">
        <f>IF(C36&gt;0, D36/C36, 0)</f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</row>
    <row r="37" ht="20" customHeight="1" spans="1:13" x14ac:dyDescent="0.25">
      <c r="A37" s="15" t="s">
        <v>72</v>
      </c>
      <c r="B37" s="16" t="s">
        <v>73</v>
      </c>
      <c r="C37" s="17">
        <v>0</v>
      </c>
      <c r="D37" s="17">
        <v>0</v>
      </c>
      <c r="E37" s="18">
        <f>IF(C37&gt;0, D37/C37, 0)</f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</row>
    <row r="38" ht="20" customHeight="1" spans="1:13" x14ac:dyDescent="0.25">
      <c r="A38" s="15" t="s">
        <v>74</v>
      </c>
      <c r="B38" s="16" t="s">
        <v>75</v>
      </c>
      <c r="C38" s="17">
        <v>0</v>
      </c>
      <c r="D38" s="17">
        <v>0</v>
      </c>
      <c r="E38" s="18">
        <f>IF(C38&gt;0, D38/C38, 0)</f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</row>
    <row r="39" ht="20" customHeight="1" spans="1:13" x14ac:dyDescent="0.25">
      <c r="A39" s="15" t="s">
        <v>76</v>
      </c>
      <c r="B39" s="16" t="s">
        <v>77</v>
      </c>
      <c r="C39" s="17">
        <v>0</v>
      </c>
      <c r="D39" s="17">
        <v>0</v>
      </c>
      <c r="E39" s="18">
        <f>IF(C39&gt;0, D39/C39, 0)</f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</row>
    <row r="40" ht="20" customHeight="1" spans="1:13" x14ac:dyDescent="0.25">
      <c r="A40" s="15" t="s">
        <v>78</v>
      </c>
      <c r="B40" s="16" t="s">
        <v>79</v>
      </c>
      <c r="C40" s="17">
        <v>0</v>
      </c>
      <c r="D40" s="17">
        <v>0</v>
      </c>
      <c r="E40" s="18">
        <f>IF(C40&gt;0, D40/C40, 0)</f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</row>
    <row r="41" ht="20" customHeight="1" spans="1:13" x14ac:dyDescent="0.25">
      <c r="A41" s="23" t="s">
        <v>80</v>
      </c>
      <c r="B41" s="24" t="s">
        <v>81</v>
      </c>
      <c r="C41" s="25">
        <f>C42</f>
      </c>
      <c r="D41" s="25">
        <f>D42</f>
      </c>
      <c r="E41" s="26">
        <f>IF(C41&gt;0, D41/C41, 0)</f>
      </c>
      <c r="F41" s="25">
        <f>F42</f>
      </c>
      <c r="G41" s="25">
        <f>G42</f>
      </c>
      <c r="H41" s="25">
        <f>H42</f>
      </c>
      <c r="I41" s="25">
        <f>I42</f>
      </c>
      <c r="J41" s="25">
        <f>J42</f>
      </c>
      <c r="K41" s="25">
        <f>K42</f>
      </c>
      <c r="L41" s="25">
        <f>L42</f>
      </c>
      <c r="M41" s="25">
        <f>M42</f>
      </c>
    </row>
    <row r="42" ht="20" customHeight="1" spans="1:13" x14ac:dyDescent="0.25">
      <c r="A42" s="15" t="s">
        <v>18</v>
      </c>
      <c r="B42" s="16" t="s">
        <v>82</v>
      </c>
      <c r="C42" s="17">
        <v>0</v>
      </c>
      <c r="D42" s="17">
        <v>0</v>
      </c>
      <c r="E42" s="18">
        <f>IF(C42&gt;0, D42/C42, 0)</f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</row>
    <row r="43" ht="20" customHeight="1" spans="1:13" x14ac:dyDescent="0.25">
      <c r="A43" s="23" t="s">
        <v>83</v>
      </c>
      <c r="B43" s="24" t="s">
        <v>84</v>
      </c>
      <c r="C43" s="25">
        <v>0</v>
      </c>
      <c r="D43" s="25">
        <v>0</v>
      </c>
      <c r="E43" s="23" t="s">
        <v>20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</row>
    <row r="44" ht="20" customHeight="1" spans="1:13" x14ac:dyDescent="0.25">
      <c r="A44" s="15" t="s">
        <v>18</v>
      </c>
      <c r="B44" s="16" t="s">
        <v>85</v>
      </c>
      <c r="C44" s="17">
        <v>0</v>
      </c>
      <c r="D44" s="17">
        <v>0</v>
      </c>
      <c r="E44" s="18">
        <f>IF(C44&gt;0, D44/C44, 0)</f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</row>
    <row r="45" ht="20" customHeight="1" spans="1:13" x14ac:dyDescent="0.25">
      <c r="A45" s="15" t="s">
        <v>25</v>
      </c>
      <c r="B45" s="16" t="s">
        <v>86</v>
      </c>
      <c r="C45" s="17">
        <v>0</v>
      </c>
      <c r="D45" s="17">
        <v>0</v>
      </c>
      <c r="E45" s="18">
        <f>IF(C45&gt;0, D45/C45, 0)</f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</row>
    <row r="46" ht="20" customHeight="1" spans="1:13" x14ac:dyDescent="0.25">
      <c r="A46" s="15" t="s">
        <v>36</v>
      </c>
      <c r="B46" s="27" t="s">
        <v>87</v>
      </c>
      <c r="C46" s="28">
        <f>IF(C44&gt;0, C45/C44, 0)</f>
      </c>
      <c r="D46" s="28">
        <f>IF(D44&gt;0, D45/D44, 0)</f>
      </c>
      <c r="E46" s="15" t="s">
        <v>20</v>
      </c>
      <c r="F46" s="28">
        <f>IF(F44&gt;0, F45/F44, 0)</f>
      </c>
      <c r="G46" s="28">
        <f>IF(G44&gt;0, G45/G44, 0)</f>
      </c>
      <c r="H46" s="28">
        <f>IF(H44&gt;0, H45/H44, 0)</f>
      </c>
      <c r="I46" s="28">
        <f>IF(I44&gt;0, I45/I44, 0)</f>
      </c>
      <c r="J46" s="28">
        <f>IF(J44&gt;0, J45/J44, 0)</f>
      </c>
      <c r="K46" s="28">
        <f>IF(K44&gt;0, K45/K44, 0)</f>
      </c>
      <c r="L46" s="28">
        <f>IF(L44&gt;0, L45/L44, 0)</f>
      </c>
      <c r="M46" s="28">
        <f>IF(M44&gt;0, M45/M44, 0)</f>
      </c>
    </row>
    <row r="47" ht="20" customHeight="1" spans="1:13" x14ac:dyDescent="0.25">
      <c r="A47" s="15" t="s">
        <v>38</v>
      </c>
      <c r="B47" s="16" t="s">
        <v>88</v>
      </c>
      <c r="C47" s="17">
        <v>0</v>
      </c>
      <c r="D47" s="17">
        <v>0</v>
      </c>
      <c r="E47" s="18">
        <f>IF(C47&gt;0, D47/C47, 0)</f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</row>
    <row r="48" ht="20" customHeight="1" spans="1:13" x14ac:dyDescent="0.25">
      <c r="A48" s="15" t="s">
        <v>40</v>
      </c>
      <c r="B48" s="16" t="s">
        <v>89</v>
      </c>
      <c r="C48" s="17">
        <v>0</v>
      </c>
      <c r="D48" s="17">
        <v>0</v>
      </c>
      <c r="E48" s="18">
        <f>IF(C48&gt;0, D48/C48, 0)</f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</row>
  </sheetData>
  <mergeCells count="6">
    <mergeCell ref="F1:M1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Chi Phí Tháng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 Group</dc:creator>
  <dc:title/>
  <dc:subject/>
  <dc:description/>
  <cp:keywords/>
  <cp:category/>
  <cp:lastModifiedBy>Unknown</cp:lastModifiedBy>
  <dcterms:created xsi:type="dcterms:W3CDTF">2026-09-22T07:13:12Z</dcterms:created>
  <dcterms:modified xsi:type="dcterms:W3CDTF">2026-09-22T07:13:12Z</dcterms:modified>
</cp:coreProperties>
</file>