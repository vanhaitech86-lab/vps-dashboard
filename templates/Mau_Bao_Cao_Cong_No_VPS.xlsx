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_Cong_No" sheetId="1" state="visible" r:id="rId1"/>
    <sheet xmlns:r="http://schemas.openxmlformats.org/officeDocument/2006/relationships" name="Danh_Sach_Chi_Ti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002060"/>
      <sz val="14"/>
    </font>
    <font>
      <name val="Arial"/>
      <i val="1"/>
      <sz val="11"/>
    </font>
    <font>
      <name val="Arial"/>
      <i val="1"/>
      <sz val="10"/>
    </font>
    <font>
      <name val="Arial"/>
      <b val="1"/>
      <color rgb="00002060"/>
      <sz val="10"/>
    </font>
    <font>
      <name val="Arial"/>
      <sz val="10"/>
    </font>
    <font>
      <name val="Arial"/>
      <b val="1"/>
      <color rgb="001E4620"/>
      <sz val="10"/>
    </font>
    <font>
      <name val="Arial"/>
      <b val="1"/>
      <color rgb="00274E13"/>
      <sz val="14"/>
    </font>
    <font>
      <name val="Arial"/>
      <b val="1"/>
      <color rgb="00FFFFFF"/>
      <sz val="10"/>
    </font>
    <font>
      <name val="Arial"/>
      <b val="1"/>
      <color rgb="00B91C1C"/>
      <sz val="10"/>
    </font>
    <font>
      <name val="Arial"/>
      <b val="1"/>
      <color rgb="00DC2626"/>
      <sz val="10"/>
    </font>
  </fonts>
  <fills count="7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E9EEF4"/>
        <bgColor rgb="00E9EEF4"/>
      </patternFill>
    </fill>
    <fill>
      <patternFill patternType="solid">
        <fgColor rgb="00E2EFDA"/>
        <bgColor rgb="00E2EFDA"/>
      </patternFill>
    </fill>
    <fill>
      <patternFill patternType="solid">
        <fgColor rgb="00A9D08E"/>
        <bgColor rgb="00A9D08E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6" fillId="4" borderId="1" pivotButton="0" quotePrefix="0" xfId="0"/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6" fillId="5" borderId="1" pivotButton="0" quotePrefix="0" xfId="0"/>
    <xf numFmtId="0" fontId="7" fillId="0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3" fontId="1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8" customWidth="1" min="4" max="4"/>
    <col width="16" customWidth="1" min="5" max="5"/>
    <col width="14" customWidth="1" min="6" max="6"/>
    <col width="15" customWidth="1" min="7" max="7"/>
    <col width="16" customWidth="1" min="8" max="8"/>
    <col width="12" customWidth="1" min="9" max="9"/>
    <col width="30" customWidth="1" min="10" max="10"/>
  </cols>
  <sheetData>
    <row r="1">
      <c r="A1" s="1" t="inlineStr">
        <is>
          <t>BÁO CÁO TỔNG HỢP CÔNG NỢ - CÔNG TY TẬP ĐOÀN VPS</t>
        </is>
      </c>
    </row>
    <row r="2">
      <c r="A2" s="2" t="inlineStr">
        <is>
          <t>Kỳ báo cáo: Tháng 08 năm 2026</t>
        </is>
      </c>
    </row>
    <row r="3">
      <c r="A3" s="3" t="inlineStr">
        <is>
          <t>Đơn vị tính: đồng</t>
        </is>
      </c>
    </row>
    <row r="4">
      <c r="A4" s="4" t="inlineStr">
        <is>
          <t>TT</t>
        </is>
      </c>
      <c r="B4" s="4" t="inlineStr">
        <is>
          <t>PHÒNG BAN</t>
        </is>
      </c>
      <c r="C4" s="4" t="inlineStr">
        <is>
          <t>DƯ NỢ
THÁNG TRƯỚC</t>
        </is>
      </c>
      <c r="D4" s="4" t="inlineStr">
        <is>
          <t>DƯ NỢ
THÁNG NÀY</t>
        </is>
      </c>
      <c r="E4" s="4" t="inlineStr">
        <is>
          <t>THU TIỀN THÁNG</t>
        </is>
      </c>
      <c r="F4" s="4" t="n"/>
      <c r="G4" s="4" t="n"/>
      <c r="H4" s="4" t="n"/>
      <c r="I4" s="4" t="n"/>
      <c r="J4" s="4" t="inlineStr">
        <is>
          <t>TÊN KH
NỢ KHÓ ĐÒI</t>
        </is>
      </c>
    </row>
    <row r="5">
      <c r="A5" s="4" t="n"/>
      <c r="B5" s="4" t="n"/>
      <c r="C5" s="4" t="n"/>
      <c r="D5" s="4" t="n"/>
      <c r="E5" s="4" t="inlineStr">
        <is>
          <t>KẾ HOẠCH
THÁNG</t>
        </is>
      </c>
      <c r="F5" s="4" t="inlineStr">
        <is>
          <t>KH TUẦN</t>
        </is>
      </c>
      <c r="G5" s="4" t="inlineStr">
        <is>
          <t>THỰC HIỆN
TUẦN</t>
        </is>
      </c>
      <c r="H5" s="4" t="inlineStr">
        <is>
          <t>LŨY KẾ
THU TIỀN</t>
        </is>
      </c>
      <c r="I5" s="4" t="inlineStr">
        <is>
          <t>TỶ LỆ %</t>
        </is>
      </c>
      <c r="J5" s="4" t="n"/>
    </row>
    <row r="6">
      <c r="A6" s="5" t="inlineStr">
        <is>
          <t>I</t>
        </is>
      </c>
      <c r="B6" s="6" t="inlineStr">
        <is>
          <t>Phòng Kỹ thuật/ thuê máy</t>
        </is>
      </c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A7" s="8" t="inlineStr">
        <is>
          <t>1</t>
        </is>
      </c>
      <c r="B7" s="9" t="inlineStr">
        <is>
          <t>Nợ bình thường</t>
        </is>
      </c>
      <c r="C7" s="10" t="n">
        <v>1500000000</v>
      </c>
      <c r="D7" s="10" t="n">
        <v>1420000000</v>
      </c>
      <c r="E7" s="10" t="n">
        <v>800000000</v>
      </c>
      <c r="F7" s="10" t="n">
        <v>200000000</v>
      </c>
      <c r="G7" s="10" t="n">
        <v>195000000</v>
      </c>
      <c r="H7" s="10" t="n">
        <v>780000000</v>
      </c>
      <c r="I7" s="11">
        <f>IF(E7&gt;0, H7/E7, 0)</f>
        <v/>
      </c>
      <c r="J7" s="12" t="inlineStr"/>
    </row>
    <row r="8">
      <c r="A8" s="8" t="inlineStr">
        <is>
          <t>2</t>
        </is>
      </c>
      <c r="B8" s="9" t="inlineStr">
        <is>
          <t>Nợ quá hạn</t>
        </is>
      </c>
      <c r="C8" s="10" t="n">
        <v>320000000</v>
      </c>
      <c r="D8" s="10" t="n">
        <v>290000000</v>
      </c>
      <c r="E8" s="10" t="n">
        <v>150000000</v>
      </c>
      <c r="F8" s="10" t="n">
        <v>40000000</v>
      </c>
      <c r="G8" s="10" t="n">
        <v>35000000</v>
      </c>
      <c r="H8" s="10" t="n">
        <v>120000000</v>
      </c>
      <c r="I8" s="11">
        <f>IF(E8&gt;0, H8/E8, 0)</f>
        <v/>
      </c>
      <c r="J8" s="12" t="inlineStr"/>
    </row>
    <row r="9">
      <c r="A9" s="8" t="inlineStr">
        <is>
          <t>3</t>
        </is>
      </c>
      <c r="B9" s="9" t="inlineStr">
        <is>
          <t>Nợ khó đòi</t>
        </is>
      </c>
      <c r="C9" s="10" t="n">
        <v>85000000</v>
      </c>
      <c r="D9" s="10" t="n">
        <v>85000000</v>
      </c>
      <c r="E9" s="10" t="n">
        <v>20000000</v>
      </c>
      <c r="F9" s="10" t="n">
        <v>5000000</v>
      </c>
      <c r="G9" s="10" t="n">
        <v>5000000</v>
      </c>
      <c r="H9" s="10" t="n">
        <v>15000000</v>
      </c>
      <c r="I9" s="11">
        <f>IF(E9&gt;0, H9/E9, 0)</f>
        <v/>
      </c>
      <c r="J9" s="12" t="inlineStr">
        <is>
          <t>Cty TNHH In Ấn Minh Phát</t>
        </is>
      </c>
    </row>
    <row r="10">
      <c r="A10" s="8" t="inlineStr">
        <is>
          <t>4</t>
        </is>
      </c>
      <c r="B10" s="9" t="inlineStr">
        <is>
          <t>Công nợ chưa đến hạn</t>
        </is>
      </c>
      <c r="C10" s="10" t="n">
        <v>450000000</v>
      </c>
      <c r="D10" s="10" t="n">
        <v>480000000</v>
      </c>
      <c r="E10" s="10" t="n">
        <v>0</v>
      </c>
      <c r="F10" s="10" t="n">
        <v>0</v>
      </c>
      <c r="G10" s="10" t="n">
        <v>0</v>
      </c>
      <c r="H10" s="10" t="n">
        <v>0</v>
      </c>
      <c r="I10" s="11">
        <f>IF(E10&gt;0, H10/E10, 0)</f>
        <v/>
      </c>
      <c r="J10" s="12" t="inlineStr"/>
    </row>
    <row r="11">
      <c r="A11" s="5" t="inlineStr">
        <is>
          <t>II</t>
        </is>
      </c>
      <c r="B11" s="6" t="inlineStr">
        <is>
          <t>Phòng KD bán máy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8" t="inlineStr">
        <is>
          <t>1</t>
        </is>
      </c>
      <c r="B12" s="9" t="inlineStr">
        <is>
          <t>Nợ bình thường</t>
        </is>
      </c>
      <c r="C12" s="10" t="n">
        <v>2800000000</v>
      </c>
      <c r="D12" s="10" t="n">
        <v>2650000000</v>
      </c>
      <c r="E12" s="10" t="n">
        <v>1200000000</v>
      </c>
      <c r="F12" s="10" t="n">
        <v>300000000</v>
      </c>
      <c r="G12" s="10" t="n">
        <v>310000000</v>
      </c>
      <c r="H12" s="10" t="n">
        <v>1150000000</v>
      </c>
      <c r="I12" s="11">
        <f>IF(E12&gt;0, H12/E12, 0)</f>
        <v/>
      </c>
      <c r="J12" s="12" t="inlineStr"/>
    </row>
    <row r="13">
      <c r="A13" s="8" t="inlineStr">
        <is>
          <t>2</t>
        </is>
      </c>
      <c r="B13" s="9" t="inlineStr">
        <is>
          <t>Nợ quá hạn</t>
        </is>
      </c>
      <c r="C13" s="10" t="n">
        <v>450000000</v>
      </c>
      <c r="D13" s="10" t="n">
        <v>410000000</v>
      </c>
      <c r="E13" s="10" t="n">
        <v>200000000</v>
      </c>
      <c r="F13" s="10" t="n">
        <v>50000000</v>
      </c>
      <c r="G13" s="10" t="n">
        <v>48000000</v>
      </c>
      <c r="H13" s="10" t="n">
        <v>180000000</v>
      </c>
      <c r="I13" s="11">
        <f>IF(E13&gt;0, H13/E13, 0)</f>
        <v/>
      </c>
      <c r="J13" s="12" t="inlineStr"/>
    </row>
    <row r="14">
      <c r="A14" s="8" t="inlineStr">
        <is>
          <t>3</t>
        </is>
      </c>
      <c r="B14" s="9" t="inlineStr">
        <is>
          <t>Nợ khó đòi</t>
        </is>
      </c>
      <c r="C14" s="10" t="n">
        <v>120000000</v>
      </c>
      <c r="D14" s="10" t="n">
        <v>120000000</v>
      </c>
      <c r="E14" s="10" t="n">
        <v>30000000</v>
      </c>
      <c r="F14" s="10" t="n">
        <v>10000000</v>
      </c>
      <c r="G14" s="10" t="n">
        <v>10000000</v>
      </c>
      <c r="H14" s="10" t="n">
        <v>25000000</v>
      </c>
      <c r="I14" s="11">
        <f>IF(E14&gt;0, H14/E14, 0)</f>
        <v/>
      </c>
      <c r="J14" s="12" t="inlineStr">
        <is>
          <t>Công ty CP Thiết bị Á Châu</t>
        </is>
      </c>
    </row>
    <row r="15">
      <c r="A15" s="5" t="inlineStr">
        <is>
          <t>III</t>
        </is>
      </c>
      <c r="B15" s="6" t="inlineStr">
        <is>
          <t>Dự Án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8" t="inlineStr">
        <is>
          <t>1</t>
        </is>
      </c>
      <c r="B16" s="9" t="inlineStr">
        <is>
          <t>Nợ bình thường</t>
        </is>
      </c>
      <c r="C16" s="10" t="n">
        <v>3500000000</v>
      </c>
      <c r="D16" s="10" t="n">
        <v>3400000000</v>
      </c>
      <c r="E16" s="10" t="n">
        <v>1500000000</v>
      </c>
      <c r="F16" s="10" t="n">
        <v>400000000</v>
      </c>
      <c r="G16" s="10" t="n">
        <v>420000000</v>
      </c>
      <c r="H16" s="10" t="n">
        <v>1450000000</v>
      </c>
      <c r="I16" s="11">
        <f>IF(E16&gt;0, H16/E16, 0)</f>
        <v/>
      </c>
      <c r="J16" s="12" t="inlineStr"/>
    </row>
    <row r="17">
      <c r="A17" s="8" t="inlineStr">
        <is>
          <t>2</t>
        </is>
      </c>
      <c r="B17" s="9" t="inlineStr">
        <is>
          <t>Nợ quá hạn</t>
        </is>
      </c>
      <c r="C17" s="10" t="n">
        <v>600000000</v>
      </c>
      <c r="D17" s="10" t="n">
        <v>550000000</v>
      </c>
      <c r="E17" s="10" t="n">
        <v>250000000</v>
      </c>
      <c r="F17" s="10" t="n">
        <v>60000000</v>
      </c>
      <c r="G17" s="10" t="n">
        <v>55000000</v>
      </c>
      <c r="H17" s="10" t="n">
        <v>210000000</v>
      </c>
      <c r="I17" s="11">
        <f>IF(E17&gt;0, H17/E17, 0)</f>
        <v/>
      </c>
      <c r="J17" s="12" t="inlineStr"/>
    </row>
    <row r="18">
      <c r="A18" s="8" t="inlineStr">
        <is>
          <t>3</t>
        </is>
      </c>
      <c r="B18" s="9" t="inlineStr">
        <is>
          <t>Nợ khó đòi</t>
        </is>
      </c>
      <c r="C18" s="10" t="n">
        <v>95000000</v>
      </c>
      <c r="D18" s="10" t="n">
        <v>95000000</v>
      </c>
      <c r="E18" s="10" t="n">
        <v>25000000</v>
      </c>
      <c r="F18" s="10" t="n">
        <v>5000000</v>
      </c>
      <c r="G18" s="10" t="n">
        <v>5000000</v>
      </c>
      <c r="H18" s="10" t="n">
        <v>18000000</v>
      </c>
      <c r="I18" s="11">
        <f>IF(E18&gt;0, H18/E18, 0)</f>
        <v/>
      </c>
      <c r="J18" s="12" t="inlineStr">
        <is>
          <t>Tổng công ty Xây lắp Nam Hà</t>
        </is>
      </c>
    </row>
    <row r="19">
      <c r="A19" s="5" t="inlineStr">
        <is>
          <t>IV</t>
        </is>
      </c>
      <c r="B19" s="6" t="inlineStr">
        <is>
          <t>TTPP/ Bán buôn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8" t="inlineStr">
        <is>
          <t>1</t>
        </is>
      </c>
      <c r="B20" s="9" t="inlineStr">
        <is>
          <t>Nợ bình thường</t>
        </is>
      </c>
      <c r="C20" s="10" t="n">
        <v>1800000000</v>
      </c>
      <c r="D20" s="10" t="n">
        <v>1750000000</v>
      </c>
      <c r="E20" s="10" t="n">
        <v>900000000</v>
      </c>
      <c r="F20" s="10" t="n">
        <v>220000000</v>
      </c>
      <c r="G20" s="10" t="n">
        <v>230000000</v>
      </c>
      <c r="H20" s="10" t="n">
        <v>880000000</v>
      </c>
      <c r="I20" s="11">
        <f>IF(E20&gt;0, H20/E20, 0)</f>
        <v/>
      </c>
      <c r="J20" s="12" t="inlineStr"/>
    </row>
    <row r="21">
      <c r="A21" s="8" t="inlineStr">
        <is>
          <t>2</t>
        </is>
      </c>
      <c r="B21" s="9" t="inlineStr">
        <is>
          <t>Nợ quá hạn</t>
        </is>
      </c>
      <c r="C21" s="10" t="n">
        <v>280000000</v>
      </c>
      <c r="D21" s="10" t="n">
        <v>260000000</v>
      </c>
      <c r="E21" s="10" t="n">
        <v>120000000</v>
      </c>
      <c r="F21" s="10" t="n">
        <v>30000000</v>
      </c>
      <c r="G21" s="10" t="n">
        <v>28000000</v>
      </c>
      <c r="H21" s="10" t="n">
        <v>105000000</v>
      </c>
      <c r="I21" s="11">
        <f>IF(E21&gt;0, H21/E21, 0)</f>
        <v/>
      </c>
      <c r="J21" s="12" t="inlineStr"/>
    </row>
    <row r="22">
      <c r="A22" s="8" t="inlineStr">
        <is>
          <t>3</t>
        </is>
      </c>
      <c r="B22" s="9" t="inlineStr">
        <is>
          <t>Nợ khó đòi</t>
        </is>
      </c>
      <c r="C22" s="10" t="n">
        <v>60000000</v>
      </c>
      <c r="D22" s="10" t="n">
        <v>60000000</v>
      </c>
      <c r="E22" s="10" t="n">
        <v>15000000</v>
      </c>
      <c r="F22" s="10" t="n">
        <v>4000000</v>
      </c>
      <c r="G22" s="10" t="n">
        <v>4000000</v>
      </c>
      <c r="H22" s="10" t="n">
        <v>12000000</v>
      </c>
      <c r="I22" s="11">
        <f>IF(E22&gt;0, H22/E22, 0)</f>
        <v/>
      </c>
      <c r="J22" s="12" t="inlineStr">
        <is>
          <t>Đại lý Thành Đạt</t>
        </is>
      </c>
    </row>
    <row r="23">
      <c r="A23" s="13" t="inlineStr">
        <is>
          <t>1</t>
        </is>
      </c>
      <c r="B23" s="14" t="inlineStr">
        <is>
          <t>Tổng nợ bình thường</t>
        </is>
      </c>
      <c r="C23" s="15">
        <f>SUM(C7,C12,C16,C20)</f>
        <v/>
      </c>
      <c r="D23" s="15">
        <f>SUM(D7,D12,D16,D20)</f>
        <v/>
      </c>
      <c r="E23" s="15">
        <f>SUM(E7,E12,E16,E20)</f>
        <v/>
      </c>
      <c r="F23" s="15">
        <f>SUM(F7,F12,F16,F20)</f>
        <v/>
      </c>
      <c r="G23" s="15">
        <f>SUM(G7,G12,G16,G20)</f>
        <v/>
      </c>
      <c r="H23" s="15">
        <f>SUM(H7,H12,H16,H20)</f>
        <v/>
      </c>
      <c r="I23" s="16">
        <f>IF(E23&gt;0, H23/E23, 0)</f>
        <v/>
      </c>
      <c r="J23" s="17" t="n"/>
    </row>
    <row r="24">
      <c r="A24" s="13" t="inlineStr">
        <is>
          <t>2</t>
        </is>
      </c>
      <c r="B24" s="14" t="inlineStr">
        <is>
          <t>Tổng nợ quá hạn</t>
        </is>
      </c>
      <c r="C24" s="15">
        <f>SUM(C8,C13,C17,C21)</f>
        <v/>
      </c>
      <c r="D24" s="15">
        <f>SUM(D8,D13,D17,D21)</f>
        <v/>
      </c>
      <c r="E24" s="15">
        <f>SUM(E8,E13,E17,E21)</f>
        <v/>
      </c>
      <c r="F24" s="15">
        <f>SUM(F8,F13,F17,F21)</f>
        <v/>
      </c>
      <c r="G24" s="15">
        <f>SUM(G8,G13,G17,G21)</f>
        <v/>
      </c>
      <c r="H24" s="15">
        <f>SUM(H8,H13,H17,H21)</f>
        <v/>
      </c>
      <c r="I24" s="16">
        <f>IF(E24&gt;0, H24/E24, 0)</f>
        <v/>
      </c>
      <c r="J24" s="17" t="n"/>
    </row>
    <row r="25">
      <c r="A25" s="13" t="inlineStr">
        <is>
          <t>3</t>
        </is>
      </c>
      <c r="B25" s="14" t="inlineStr">
        <is>
          <t>Tổng nợ khó đòi</t>
        </is>
      </c>
      <c r="C25" s="15">
        <f>SUM(C9,C14,C18,C22)</f>
        <v/>
      </c>
      <c r="D25" s="15">
        <f>SUM(D9,D14,D18,D22)</f>
        <v/>
      </c>
      <c r="E25" s="15">
        <f>SUM(E9,E14,E18,E22)</f>
        <v/>
      </c>
      <c r="F25" s="15">
        <f>SUM(F9,F14,F18,F22)</f>
        <v/>
      </c>
      <c r="G25" s="15">
        <f>SUM(G9,G14,G18,G22)</f>
        <v/>
      </c>
      <c r="H25" s="15">
        <f>SUM(H9,H14,H18,H22)</f>
        <v/>
      </c>
      <c r="I25" s="16">
        <f>IF(E25&gt;0, H25/E25, 0)</f>
        <v/>
      </c>
      <c r="J25" s="17" t="n"/>
    </row>
    <row r="26">
      <c r="A26" s="18" t="inlineStr">
        <is>
          <t>4</t>
        </is>
      </c>
      <c r="B26" s="19" t="inlineStr">
        <is>
          <t>TỔNG CỘNG</t>
        </is>
      </c>
      <c r="C26" s="20">
        <f>SUM(C7,C8,C9,C10,C12,C13,C14,C16,C17,C18,C20,C21,C22)</f>
        <v/>
      </c>
      <c r="D26" s="20">
        <f>SUM(D7,D8,D9,D10,D12,D13,D14,D16,D17,D18,D20,D21,D22)</f>
        <v/>
      </c>
      <c r="E26" s="20">
        <f>SUM(E7,E8,E9,E10,E12,E13,E14,E16,E17,E18,E20,E21,E22)</f>
        <v/>
      </c>
      <c r="F26" s="20">
        <f>SUM(F7,F8,F9,F10,F12,F13,F14,F16,F17,F18,F20,F21,F22)</f>
        <v/>
      </c>
      <c r="G26" s="20">
        <f>SUM(G7,G8,G9,G10,G12,G13,G14,G16,G17,G18,G20,G21,G22)</f>
        <v/>
      </c>
      <c r="H26" s="20">
        <f>SUM(H7,H8,H9,H10,H12,H13,H14,H16,H17,H18,H20,H21,H22)</f>
        <v/>
      </c>
      <c r="I26" s="21">
        <f>IF(E26&gt;0, H26/E26, 0)</f>
        <v/>
      </c>
      <c r="J26" s="22" t="n"/>
    </row>
  </sheetData>
  <mergeCells count="9">
    <mergeCell ref="A1:J1"/>
    <mergeCell ref="B4:B5"/>
    <mergeCell ref="E4:I4"/>
    <mergeCell ref="C4:C5"/>
    <mergeCell ref="A4:A5"/>
    <mergeCell ref="D4:D5"/>
    <mergeCell ref="J4:J5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4" customWidth="1" min="3" max="3"/>
    <col width="18" customWidth="1" min="4" max="4"/>
    <col width="16" customWidth="1" min="5" max="5"/>
    <col width="16" customWidth="1" min="6" max="6"/>
    <col width="16" customWidth="1" min="7" max="7"/>
  </cols>
  <sheetData>
    <row r="1">
      <c r="A1" s="23" t="inlineStr">
        <is>
          <t>DANH SÁCH CÔNG NỢ CỦA ĐƠN VỊ</t>
        </is>
      </c>
    </row>
    <row r="3">
      <c r="A3" s="24" t="inlineStr">
        <is>
          <t>Stt</t>
        </is>
      </c>
      <c r="B3" s="24" t="inlineStr">
        <is>
          <t>Mã khách</t>
        </is>
      </c>
      <c r="C3" s="24" t="inlineStr">
        <is>
          <t>Tên khách</t>
        </is>
      </c>
      <c r="D3" s="24" t="inlineStr">
        <is>
          <t>Nợ cuối kỳ</t>
        </is>
      </c>
      <c r="E3" s="24" t="inlineStr">
        <is>
          <t>Trong hạn</t>
        </is>
      </c>
      <c r="F3" s="24" t="inlineStr">
        <is>
          <t>Quá hạn</t>
        </is>
      </c>
      <c r="G3" s="24" t="inlineStr">
        <is>
          <t>Khó đòi</t>
        </is>
      </c>
    </row>
    <row r="4">
      <c r="A4" s="8" t="n">
        <v>1</v>
      </c>
      <c r="B4" s="8" t="inlineStr">
        <is>
          <t>KH001</t>
        </is>
      </c>
      <c r="C4" s="9" t="inlineStr">
        <is>
          <t>Công ty Cổ phần May Xuất Khẩu Hà Nội</t>
        </is>
      </c>
      <c r="D4" s="25">
        <f>E4+F4+G4</f>
        <v/>
      </c>
      <c r="E4" s="26" t="n">
        <v>450000000</v>
      </c>
      <c r="F4" s="26" t="n">
        <v>0</v>
      </c>
      <c r="G4" s="26" t="n">
        <v>0</v>
      </c>
    </row>
    <row r="5">
      <c r="A5" s="8" t="n">
        <v>2</v>
      </c>
      <c r="B5" s="8" t="inlineStr">
        <is>
          <t>KH002</t>
        </is>
      </c>
      <c r="C5" s="9" t="inlineStr">
        <is>
          <t>Công ty TNHH Thương Mại &amp; Dịch Vụ Hoàng Mai</t>
        </is>
      </c>
      <c r="D5" s="25">
        <f>E5+F5+G5</f>
        <v/>
      </c>
      <c r="E5" s="26" t="n">
        <v>150000000</v>
      </c>
      <c r="F5" s="26" t="n">
        <v>35000000</v>
      </c>
      <c r="G5" s="26" t="n">
        <v>0</v>
      </c>
    </row>
    <row r="6">
      <c r="A6" s="8" t="n">
        <v>3</v>
      </c>
      <c r="B6" s="8" t="inlineStr">
        <is>
          <t>KH003</t>
        </is>
      </c>
      <c r="C6" s="9" t="inlineStr">
        <is>
          <t>Tập đoàn Đầu tư &amp; Xây dựng Thăng Long</t>
        </is>
      </c>
      <c r="D6" s="25">
        <f>E6+F6+G6</f>
        <v/>
      </c>
      <c r="E6" s="26" t="n">
        <v>650000000</v>
      </c>
      <c r="F6" s="26" t="n">
        <v>170000000</v>
      </c>
      <c r="G6" s="26" t="n">
        <v>0</v>
      </c>
    </row>
    <row r="7">
      <c r="A7" s="8" t="n">
        <v>4</v>
      </c>
      <c r="B7" s="8" t="inlineStr">
        <is>
          <t>KH004</t>
        </is>
      </c>
      <c r="C7" s="9" t="inlineStr">
        <is>
          <t>Công ty TNHH In Ấn Minh Phát</t>
        </is>
      </c>
      <c r="D7" s="25">
        <f>E7+F7+G7</f>
        <v/>
      </c>
      <c r="E7" s="26" t="n">
        <v>0</v>
      </c>
      <c r="F7" s="26" t="n">
        <v>0</v>
      </c>
      <c r="G7" s="27" t="n">
        <v>85000000</v>
      </c>
    </row>
    <row r="8">
      <c r="A8" s="8" t="n">
        <v>5</v>
      </c>
      <c r="B8" s="8" t="inlineStr">
        <is>
          <t>KH005</t>
        </is>
      </c>
      <c r="C8" s="9" t="inlineStr">
        <is>
          <t>Công ty CP Thiết bị Á Châu</t>
        </is>
      </c>
      <c r="D8" s="25">
        <f>E8+F8+G8</f>
        <v/>
      </c>
      <c r="E8" s="26" t="n">
        <v>0</v>
      </c>
      <c r="F8" s="26" t="n">
        <v>0</v>
      </c>
      <c r="G8" s="27" t="n">
        <v>120000000</v>
      </c>
    </row>
    <row r="9">
      <c r="A9" s="8" t="n">
        <v>6</v>
      </c>
      <c r="B9" s="8" t="inlineStr">
        <is>
          <t>KH006</t>
        </is>
      </c>
      <c r="C9" s="9" t="inlineStr">
        <is>
          <t>Văn phòng Công chứng Tràng An</t>
        </is>
      </c>
      <c r="D9" s="25">
        <f>E9+F9+G9</f>
        <v/>
      </c>
      <c r="E9" s="26" t="n">
        <v>80000000</v>
      </c>
      <c r="F9" s="26" t="n">
        <v>15000000</v>
      </c>
      <c r="G9" s="26" t="n">
        <v>0</v>
      </c>
    </row>
    <row r="10">
      <c r="A10" s="8" t="n">
        <v>7</v>
      </c>
      <c r="B10" s="8" t="inlineStr">
        <is>
          <t>KH007</t>
        </is>
      </c>
      <c r="C10" s="9" t="inlineStr">
        <is>
          <t>Tổng công ty Xây lắp Nam Hà</t>
        </is>
      </c>
      <c r="D10" s="25">
        <f>E10+F10+G10</f>
        <v/>
      </c>
      <c r="E10" s="26" t="n">
        <v>0</v>
      </c>
      <c r="F10" s="26" t="n">
        <v>0</v>
      </c>
      <c r="G10" s="27" t="n">
        <v>95000000</v>
      </c>
    </row>
    <row r="11">
      <c r="A11" s="8" t="n">
        <v>8</v>
      </c>
      <c r="B11" s="8" t="inlineStr">
        <is>
          <t>KH008</t>
        </is>
      </c>
      <c r="C11" s="9" t="inlineStr">
        <is>
          <t>Đại lý Thiết bị Văn phòng Thành Đạt</t>
        </is>
      </c>
      <c r="D11" s="25">
        <f>E11+F11+G11</f>
        <v/>
      </c>
      <c r="E11" s="26" t="n">
        <v>180000000</v>
      </c>
      <c r="F11" s="26" t="n">
        <v>20000000</v>
      </c>
      <c r="G11" s="27" t="n">
        <v>60000000</v>
      </c>
    </row>
    <row r="12">
      <c r="A12" s="8" t="n">
        <v>9</v>
      </c>
      <c r="B12" s="8" t="inlineStr">
        <is>
          <t>KH009</t>
        </is>
      </c>
      <c r="C12" s="9" t="inlineStr">
        <is>
          <t>Trung tâm Y tế Quận Đống Đa</t>
        </is>
      </c>
      <c r="D12" s="25">
        <f>E12+F12+G12</f>
        <v/>
      </c>
      <c r="E12" s="26" t="n">
        <v>140000000</v>
      </c>
      <c r="F12" s="26" t="n">
        <v>0</v>
      </c>
      <c r="G12" s="26" t="n">
        <v>0</v>
      </c>
    </row>
    <row r="13">
      <c r="A13" s="8" t="n">
        <v>10</v>
      </c>
      <c r="B13" s="8" t="inlineStr">
        <is>
          <t>KH010</t>
        </is>
      </c>
      <c r="C13" s="9" t="inlineStr">
        <is>
          <t>Trường Đại học Bách Khoa Hà Nội</t>
        </is>
      </c>
      <c r="D13" s="25">
        <f>E13+F13+G13</f>
        <v/>
      </c>
      <c r="E13" s="26" t="n">
        <v>320000000</v>
      </c>
      <c r="F13" s="26" t="n">
        <v>0</v>
      </c>
      <c r="G13" s="26" t="n">
        <v>0</v>
      </c>
    </row>
    <row r="14">
      <c r="A14" s="8" t="n">
        <v>11</v>
      </c>
      <c r="B14" s="8" t="inlineStr">
        <is>
          <t>KH011</t>
        </is>
      </c>
      <c r="C14" s="9" t="inlineStr">
        <is>
          <t>Công ty TNHH Dịch Vụ Du Lịch Việt Sun</t>
        </is>
      </c>
      <c r="D14" s="25">
        <f>E14+F14+G14</f>
        <v/>
      </c>
      <c r="E14" s="26" t="n">
        <v>160000000</v>
      </c>
      <c r="F14" s="26" t="n">
        <v>50000000</v>
      </c>
      <c r="G14" s="26" t="n">
        <v>0</v>
      </c>
    </row>
    <row r="15">
      <c r="A15" s="8" t="n">
        <v>12</v>
      </c>
      <c r="B15" s="8" t="inlineStr">
        <is>
          <t>KH012</t>
        </is>
      </c>
      <c r="C15" s="9" t="inlineStr">
        <is>
          <t>Viện Khoa Học Công Nghệ Quân Sự</t>
        </is>
      </c>
      <c r="D15" s="25">
        <f>E15+F15+G15</f>
        <v/>
      </c>
      <c r="E15" s="26" t="n">
        <v>510000000</v>
      </c>
      <c r="F15" s="26" t="n">
        <v>0</v>
      </c>
      <c r="G15" s="26" t="n">
        <v>0</v>
      </c>
    </row>
    <row r="16">
      <c r="A16" s="13" t="inlineStr">
        <is>
          <t>★</t>
        </is>
      </c>
      <c r="B16" s="17" t="inlineStr"/>
      <c r="C16" s="14" t="inlineStr">
        <is>
          <t>TỔNG CỘNG DANH SÁCH</t>
        </is>
      </c>
      <c r="D16" s="15">
        <f>SUM(D4:D15)</f>
        <v/>
      </c>
      <c r="E16" s="15">
        <f>SUM(E4:E15)</f>
        <v/>
      </c>
      <c r="F16" s="15">
        <f>SUM(F4:F15)</f>
        <v/>
      </c>
      <c r="G16" s="15">
        <f>SUM(G4:G15)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2026-09-17T16:17:53Z</dcterms:created>
  <dcterms:modified xmlns:dcterms="http://purl.org/dc/terms/" xmlns:xsi="http://www.w3.org/2001/XMLSchema-instance" xsi:type="dcterms:W3CDTF">2026-09-17T16:17:53Z</dcterms:modified>
</cp:coreProperties>
</file>