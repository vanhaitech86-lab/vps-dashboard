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ỔNG HỢP TẬP ĐOÀN" state="visible" r:id="rId4"/>
    <sheet sheetId="2" name="1. CTY TÂN HỒNG HÀ" state="visible" r:id="rId5"/>
    <sheet sheetId="3" name="2. CTY VIỆT" state="visible" r:id="rId6"/>
    <sheet sheetId="4" name="3. CTY XEM SƠN" state="visible" r:id="rId7"/>
    <sheet sheetId="5" name="4. VPS MIỀN TRUNG" state="visible" r:id="rId8"/>
    <sheet sheetId="6" name="5. VP TỔNG CÔNG TY" state="visible" r:id="rId9"/>
    <sheet sheetId="7" name="QUY_DINH_HUONG_DAN" state="visible" r:id="rId10"/>
  </sheets>
  <calcPr calcId="171027"/>
</workbook>
</file>

<file path=xl/sharedStrings.xml><?xml version="1.0" encoding="utf-8"?>
<sst xmlns="http://schemas.openxmlformats.org/spreadsheetml/2006/main" count="257" uniqueCount="57">
  <si>
    <t>BÁO CÁO TỔNG HỢP TỒN KHO HĐKD &amp; DỰ ÁN - TOÀN TẬP ĐOÀN VPS</t>
  </si>
  <si>
    <t>Quy định: Tồn kho được phân loại thành 6 nhóm danh mục. Mục 5 (Dự án) tách riêng theo dõi độc lập với Tồn kho HĐKD Thường.</t>
  </si>
  <si>
    <t>I</t>
  </si>
  <si>
    <t>THH</t>
  </si>
  <si>
    <t>HP</t>
  </si>
  <si>
    <t>Fujifilm</t>
  </si>
  <si>
    <t>Olivetti / Vcopy</t>
  </si>
  <si>
    <t>Bonsai / AIN</t>
  </si>
  <si>
    <t>Khác</t>
  </si>
  <si>
    <t>TỔNG CỘNG</t>
  </si>
  <si>
    <t>SL</t>
  </si>
  <si>
    <t>Giá trị (VNĐ)</t>
  </si>
  <si>
    <t>Máy</t>
  </si>
  <si>
    <t>Option/phần mềm</t>
  </si>
  <si>
    <t>Consumable</t>
  </si>
  <si>
    <t>Part</t>
  </si>
  <si>
    <t>Dự án (Tồn kho phục vụ các hợp đồng/gói thầu)</t>
  </si>
  <si>
    <t>🔹 CỘNG TỒN KHO HĐKD THƯỜNG (Mục 1, 2, 3, 4, 6)</t>
  </si>
  <si>
    <t>🔹 CỘNG TỒN KHO HÀNG DỰ ÁN (Mục 5)</t>
  </si>
  <si>
    <t>⭐ TỔNG CỘNG TỒN KHO TOÀN ĐƠN VỊ</t>
  </si>
  <si>
    <t>📊 THÔNG KÊ NHANH TỶ TRỌNG TỒN KHO HĐKD THƯỜNG VS DỰ ÁN (THEO CHỈ ĐẠO BAN TỔNG GIÁM ĐỐC)</t>
  </si>
  <si>
    <t>1. Tồn kho HĐKD Thường:</t>
  </si>
  <si>
    <t>Tỷ trọng HĐKD:</t>
  </si>
  <si>
    <t>2. Tồn kho Hàng Dự Án:</t>
  </si>
  <si>
    <t>Tỷ trọng Dự án:</t>
  </si>
  <si>
    <t>⭐ TỔNG CỘNG TỒN KHO:</t>
  </si>
  <si>
    <t>Tổng tỷ lệ:</t>
  </si>
  <si>
    <t>BÁO CÁO CHỈ TIÊU TỒN KHO HĐKD &amp; DỰ ÁN - CÔNG TY TÂN HỒNG HÀ</t>
  </si>
  <si>
    <t>BÁO CÁO CHỈ TIÊU TỒN KHO HĐKD &amp; DỰ ÁN - CÔNG TY VIỆT</t>
  </si>
  <si>
    <t>BÁO CÁO CHỈ TIÊU TỒN KHO HĐKD &amp; DỰ ÁN - CÔNG TY XEM SƠN (XESCO)</t>
  </si>
  <si>
    <t>BÁO CÁO CHỈ TIÊU TỒN KHO HĐKD &amp; DỰ ÁN - VPS MIỀN TRUNG</t>
  </si>
  <si>
    <t>BÁO CÁO CHỈ TIÊU TỒN KHO HĐKD &amp; DỰ ÁN - VĂN PHÒNG TỔNG CÔNG TY VPS</t>
  </si>
  <si>
    <t>QUY ĐỊNH PHÂN LOẠI &amp; NHẬP LIỆU CHỈ TIÊU TỒN KHO TẬP ĐOÀN VPS</t>
  </si>
  <si>
    <t>STT</t>
  </si>
  <si>
    <t>MỤC DANH MỤC</t>
  </si>
  <si>
    <t>ĐỊNH NGHĨA &amp; TIÊU CHÍ PHÂN LOẠI</t>
  </si>
  <si>
    <t>PHÂN NHÓM QUẢN TRỊ</t>
  </si>
  <si>
    <t>1</t>
  </si>
  <si>
    <t>1. Máy</t>
  </si>
  <si>
    <t>Bao gồm toàn bộ máy in, máy photocopy, máy quét đa chức năng các hãng HP, Fujifilm, Olivetti, Bonsai...</t>
  </si>
  <si>
    <t>HĐKD THƯỜNG</t>
  </si>
  <si>
    <t>2</t>
  </si>
  <si>
    <t>2. Option/phần mềm</t>
  </si>
  <si>
    <t>Các khay giấy phụ, bộ đảo mặt, dập ghim, card mạng, bản quyền phần mềm giải pháp số...</t>
  </si>
  <si>
    <t>3</t>
  </si>
  <si>
    <t>3. Consumable</t>
  </si>
  <si>
    <t>Mực in (Toner), mực màu, Trống từ (Drum), Hộp thu mực thải, Bột từ (Developer)...</t>
  </si>
  <si>
    <t>4</t>
  </si>
  <si>
    <t>4. Part</t>
  </si>
  <si>
    <t>Linh kiện thay thế, bo mạch, bánh xe lấy giấy, sấy, cụm transfer belt, motor...</t>
  </si>
  <si>
    <t>5</t>
  </si>
  <si>
    <t>5. Dự án</t>
  </si>
  <si>
    <t>Hàng hóa (Máy, Option, Vật tư) nhập về dành riêng cho các Gói thầu, Hợp đồng dự án đang triển khai hoặc chờ nghiệm thu bàn giao.</t>
  </si>
  <si>
    <t>TỒN KHO DỰ ÁN (THEO DÕI ĐỘC LẬP)</t>
  </si>
  <si>
    <t>6</t>
  </si>
  <si>
    <t>6. Khác</t>
  </si>
  <si>
    <t>Bao bì, vật dụng đóng gói, phụ kiện chuyên dụng, thiết bị phụ trợ không thuộc 5 nhóm trên.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</si>
</sst>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 &quot;₫&quot;"/>
    <numFmt numFmtId="165" formatCode="0.0%"/>
    <numFmt numFmtId="166" formatCode="100.0%"/>
  </numFmts>
  <fonts count="26" x14ac:knownFonts="1">
    <font>
      <color theme="1"/>
      <family val="2"/>
      <scheme val="minor"/>
      <sz val="11"/>
      <name val="Calibri"/>
    </font>
    <font>
      <b/>
      <color rgb="1E3A8A"/>
      <sz val="14"/>
      <name val="Arial"/>
    </font>
    <font>
      <i/>
      <color rgb="475569"/>
      <sz val="10"/>
      <name val="Arial"/>
    </font>
    <font>
      <b/>
      <color rgb="0F172A"/>
      <sz val="10"/>
      <name val="Arial"/>
    </font>
    <font>
      <b/>
      <color rgb="047857"/>
      <sz val="9"/>
      <name val="Arial"/>
    </font>
    <font>
      <b/>
      <color rgb="0F172A"/>
      <sz val="9"/>
      <name val="Arial"/>
    </font>
    <font>
      <b/>
      <color rgb="64748B"/>
      <sz val="10"/>
      <name val="Arial"/>
    </font>
    <font>
      <b/>
      <color rgb="1E293B"/>
      <sz val="10"/>
      <name val="Arial"/>
    </font>
    <font>
      <color rgb="0284C7"/>
      <sz val="9.5"/>
      <name val="Arial"/>
    </font>
    <font>
      <color rgb="0F172A"/>
      <sz val="9.5"/>
      <name val="Arial"/>
    </font>
    <font>
      <b/>
      <color rgb="1D4ED8"/>
      <sz val="10"/>
      <name val="Arial"/>
    </font>
    <font>
      <b/>
      <color rgb="2563EB"/>
      <sz val="9.5"/>
      <name val="Arial"/>
    </font>
    <font>
      <b/>
      <color rgb="1E40AF"/>
      <sz val="9.5"/>
      <name val="Arial"/>
    </font>
    <font>
      <b/>
      <color rgb="065F46"/>
      <sz val="10"/>
      <name val="Arial"/>
    </font>
    <font>
      <b/>
      <color rgb="047857"/>
      <sz val="10"/>
      <name val="Arial"/>
    </font>
    <font>
      <b/>
      <color rgb="1E40AF"/>
      <sz val="10"/>
      <name val="Arial"/>
    </font>
    <font>
      <b/>
      <color rgb="1E3A8A"/>
      <sz val="10"/>
      <name val="Arial"/>
    </font>
    <font>
      <b/>
      <color rgb="92400E"/>
      <sz val="11"/>
      <name val="Arial"/>
    </font>
    <font>
      <b/>
      <color rgb="B45309"/>
      <sz val="10.5"/>
      <name val="Arial"/>
    </font>
    <font>
      <b/>
      <color rgb="92400E"/>
      <sz val="10.5"/>
      <name val="Arial"/>
    </font>
    <font>
      <b/>
      <color rgb="065F46"/>
      <sz val="9.5"/>
      <name val="Arial"/>
    </font>
    <font>
      <color rgb="475569"/>
      <sz val="9.5"/>
      <name val="Arial"/>
    </font>
    <font>
      <b/>
      <color rgb="2563EB"/>
      <sz val="10"/>
      <name val="Arial"/>
    </font>
    <font>
      <b/>
      <color rgb="92400E"/>
      <sz val="10"/>
      <name val="Arial"/>
    </font>
    <font>
      <b/>
      <color rgb="FFFFFF"/>
      <sz val="10"/>
      <name val="Arial"/>
    </font>
    <font>
      <color rgb="1E293B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A3E635"/>
      </patternFill>
    </fill>
    <fill>
      <patternFill patternType="solid">
        <fgColor rgb="EFF6FF"/>
      </patternFill>
    </fill>
    <fill>
      <patternFill patternType="solid">
        <fgColor rgb="ECFDF5"/>
      </patternFill>
    </fill>
    <fill>
      <patternFill patternType="solid">
        <fgColor rgb="DBEAFE"/>
      </patternFill>
    </fill>
    <fill>
      <patternFill patternType="solid">
        <fgColor rgb="FEF3C7"/>
      </patternFill>
    </fill>
    <fill>
      <patternFill patternType="solid">
        <fgColor rgb="1E3A8A"/>
      </patternFill>
    </fill>
  </fills>
  <borders count="7">
    <border>
      <left/>
      <right/>
      <top/>
      <bottom/>
      <diagonal/>
    </border>
    <border>
      <left style="thin">
        <color rgb="65A30D"/>
      </left>
      <right style="thin">
        <color rgb="65A30D"/>
      </right>
      <top style="thin">
        <color rgb="65A30D"/>
      </top>
      <bottom style="thin">
        <color rgb="65A30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10B981"/>
      </top>
      <bottom style="thin">
        <color rgb="10B981"/>
      </bottom>
      <diagonal/>
    </border>
    <border>
      <left style="thin">
        <color rgb="E2E8F0"/>
      </left>
      <right style="thin">
        <color rgb="E2E8F0"/>
      </right>
      <top style="thin">
        <color rgb="3B82F6"/>
      </top>
      <bottom style="thin">
        <color rgb="3B82F6"/>
      </bottom>
      <diagonal/>
    </border>
    <border>
      <left style="thin">
        <color rgb="D97706"/>
      </left>
      <right style="thin">
        <color rgb="D97706"/>
      </right>
      <top style="medium">
        <color rgb="D97706"/>
      </top>
      <bottom style="double">
        <color rgb="D97706"/>
      </bottom>
      <diagonal/>
    </border>
    <border>
      <left style="thin">
        <color rgb="94A3B8"/>
      </left>
      <right style="thin">
        <color rgb="94A3B8"/>
      </right>
      <top style="thin">
        <color rgb="94A3B8"/>
      </top>
      <bottom style="thin">
        <color rgb="94A3B8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3" fontId="8" fillId="0" borderId="2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left" vertical="center"/>
    </xf>
    <xf numFmtId="3" fontId="11" fillId="3" borderId="2" xfId="0" applyNumberFormat="1" applyFont="1" applyFill="1" applyBorder="1" applyAlignment="1">
      <alignment horizontal="right" vertical="center"/>
    </xf>
    <xf numFmtId="3" fontId="12" fillId="3" borderId="2" xfId="0" applyNumberFormat="1" applyFont="1" applyFill="1" applyBorder="1" applyAlignment="1">
      <alignment horizontal="right" vertical="center"/>
    </xf>
    <xf numFmtId="0" fontId="13" fillId="4" borderId="3" xfId="0" applyFont="1" applyFill="1" applyBorder="1" applyAlignment="1">
      <alignment horizontal="left" vertical="center"/>
    </xf>
    <xf numFmtId="3" fontId="14" fillId="4" borderId="3" xfId="0" applyNumberFormat="1" applyFont="1" applyFill="1" applyBorder="1" applyAlignment="1">
      <alignment horizontal="right" vertical="center"/>
    </xf>
    <xf numFmtId="3" fontId="13" fillId="4" borderId="3" xfId="0" applyNumberFormat="1" applyFont="1" applyFill="1" applyBorder="1" applyAlignment="1">
      <alignment horizontal="right" vertical="center"/>
    </xf>
    <xf numFmtId="0" fontId="15" fillId="5" borderId="4" xfId="0" applyFont="1" applyFill="1" applyBorder="1" applyAlignment="1">
      <alignment horizontal="left" vertical="center"/>
    </xf>
    <xf numFmtId="3" fontId="10" fillId="5" borderId="4" xfId="0" applyNumberFormat="1" applyFont="1" applyFill="1" applyBorder="1" applyAlignment="1">
      <alignment horizontal="right" vertical="center"/>
    </xf>
    <xf numFmtId="3" fontId="16" fillId="5" borderId="4" xfId="0" applyNumberFormat="1" applyFont="1" applyFill="1" applyBorder="1" applyAlignment="1">
      <alignment horizontal="right" vertical="center"/>
    </xf>
    <xf numFmtId="0" fontId="17" fillId="6" borderId="5" xfId="0" applyFont="1" applyFill="1" applyBorder="1" applyAlignment="1">
      <alignment horizontal="left" vertical="center"/>
    </xf>
    <xf numFmtId="3" fontId="18" fillId="6" borderId="5" xfId="0" applyNumberFormat="1" applyFont="1" applyFill="1" applyBorder="1" applyAlignment="1">
      <alignment horizontal="right" vertical="center"/>
    </xf>
    <xf numFmtId="3" fontId="19" fillId="6" borderId="5" xfId="0" applyNumberFormat="1" applyFont="1" applyFill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20" fillId="0" borderId="0" xfId="0" applyFont="1"/>
    <xf numFmtId="164" fontId="20" fillId="0" borderId="0" xfId="0" applyNumberFormat="1" applyFont="1"/>
    <xf numFmtId="0" fontId="21" fillId="0" borderId="0" xfId="0" applyFont="1"/>
    <xf numFmtId="165" fontId="14" fillId="0" borderId="0" xfId="0" applyNumberFormat="1" applyFont="1"/>
    <xf numFmtId="0" fontId="12" fillId="0" borderId="0" xfId="0" applyFont="1"/>
    <xf numFmtId="164" fontId="12" fillId="0" borderId="0" xfId="0" applyNumberFormat="1" applyFont="1"/>
    <xf numFmtId="165" fontId="22" fillId="0" borderId="0" xfId="0" applyNumberFormat="1" applyFont="1"/>
    <xf numFmtId="0" fontId="23" fillId="0" borderId="0" xfId="0" applyFont="1"/>
    <xf numFmtId="164" fontId="23" fillId="0" borderId="0" xfId="0" applyNumberFormat="1" applyFont="1"/>
    <xf numFmtId="166" fontId="23" fillId="0" borderId="0" xfId="0" applyNumberFormat="1" applyFont="1"/>
    <xf numFmtId="0" fontId="24" fillId="7" borderId="6" xfId="0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left" vertical="center"/>
    </xf>
    <xf numFmtId="0" fontId="15" fillId="5" borderId="6" xfId="0" applyFont="1" applyFill="1" applyBorder="1" applyAlignment="1">
      <alignment horizontal="center" vertical="center"/>
    </xf>
    <xf numFmtId="0" fontId="15" fillId="5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 outlineLevelRow="0" outlineLevelCol="0" x14ac:dyDescent="55"/>
  <cols>
    <col min="1" max="1" width="8" customWidth="1"/>
    <col min="2" max="2" width="34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  <col min="9" max="9" width="10" customWidth="1"/>
    <col min="10" max="10" width="18" customWidth="1"/>
    <col min="11" max="11" width="10" customWidth="1"/>
    <col min="12" max="12" width="18" customWidth="1"/>
    <col min="13" max="13" width="12" customWidth="1"/>
    <col min="14" max="14" width="22" customWidth="1"/>
  </cols>
  <sheetData>
    <row r="1" ht="32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" customHeight="1" x14ac:dyDescent="0.25"/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</row>
    <row r="5" ht="22" customHeight="1" spans="1:14" x14ac:dyDescent="0.25">
      <c r="A5" s="3"/>
      <c r="B5" s="3"/>
      <c r="C5" s="4" t="s">
        <v>10</v>
      </c>
      <c r="D5" s="5" t="s">
        <v>11</v>
      </c>
      <c r="E5" s="4" t="s">
        <v>10</v>
      </c>
      <c r="F5" s="5" t="s">
        <v>11</v>
      </c>
      <c r="G5" s="4" t="s">
        <v>10</v>
      </c>
      <c r="H5" s="5" t="s">
        <v>11</v>
      </c>
      <c r="I5" s="4" t="s">
        <v>10</v>
      </c>
      <c r="J5" s="5" t="s">
        <v>11</v>
      </c>
      <c r="K5" s="4" t="s">
        <v>10</v>
      </c>
      <c r="L5" s="5" t="s">
        <v>11</v>
      </c>
      <c r="M5" s="4" t="s">
        <v>10</v>
      </c>
      <c r="N5" s="5" t="s">
        <v>11</v>
      </c>
    </row>
    <row r="6" ht="24" customHeight="1" spans="1:14" x14ac:dyDescent="0.25">
      <c r="A6" s="6">
        <v>1</v>
      </c>
      <c r="B6" s="7" t="s">
        <v>12</v>
      </c>
      <c r="C6" s="8">
        <v>406</v>
      </c>
      <c r="D6" s="9">
        <v>16236861538</v>
      </c>
      <c r="E6" s="8">
        <v>67</v>
      </c>
      <c r="F6" s="9">
        <v>2691167947</v>
      </c>
      <c r="G6" s="8">
        <v>4</v>
      </c>
      <c r="H6" s="9">
        <v>145461859</v>
      </c>
      <c r="I6" s="8">
        <v>30</v>
      </c>
      <c r="J6" s="9">
        <v>1196919790</v>
      </c>
      <c r="K6" s="8">
        <v>8</v>
      </c>
      <c r="L6" s="9">
        <v>320000000</v>
      </c>
      <c r="M6" s="8">
        <f>C6+E6+G6+I6+K6</f>
      </c>
      <c r="N6" s="9">
        <f>D6+F6+H6+J6+L6</f>
      </c>
    </row>
    <row r="7" ht="24" customHeight="1" spans="1:14" x14ac:dyDescent="0.25">
      <c r="A7" s="6">
        <v>2</v>
      </c>
      <c r="B7" s="7" t="s">
        <v>13</v>
      </c>
      <c r="C7" s="8">
        <v>207</v>
      </c>
      <c r="D7" s="9">
        <v>724129217</v>
      </c>
      <c r="E7" s="8">
        <v>90</v>
      </c>
      <c r="F7" s="9">
        <v>316631629</v>
      </c>
      <c r="G7" s="8">
        <v>0</v>
      </c>
      <c r="H7" s="9">
        <v>0</v>
      </c>
      <c r="I7" s="8">
        <v>0</v>
      </c>
      <c r="J7" s="9">
        <v>0</v>
      </c>
      <c r="K7" s="8">
        <v>24</v>
      </c>
      <c r="L7" s="9">
        <v>85000000</v>
      </c>
      <c r="M7" s="8">
        <f>C7+E7+G7+I7+K7</f>
      </c>
      <c r="N7" s="9">
        <f>D7+F7+H7+J7+L7</f>
      </c>
    </row>
    <row r="8" ht="24" customHeight="1" spans="1:14" x14ac:dyDescent="0.25">
      <c r="A8" s="6">
        <v>3</v>
      </c>
      <c r="B8" s="7" t="s">
        <v>14</v>
      </c>
      <c r="C8" s="8">
        <v>1415</v>
      </c>
      <c r="D8" s="9">
        <v>1697362872</v>
      </c>
      <c r="E8" s="8">
        <v>3245</v>
      </c>
      <c r="F8" s="9">
        <v>3893921782</v>
      </c>
      <c r="G8" s="8">
        <v>1</v>
      </c>
      <c r="H8" s="9">
        <v>595000</v>
      </c>
      <c r="I8" s="8">
        <v>0</v>
      </c>
      <c r="J8" s="9">
        <v>0</v>
      </c>
      <c r="K8" s="8">
        <v>397</v>
      </c>
      <c r="L8" s="9">
        <v>450000000</v>
      </c>
      <c r="M8" s="8">
        <f>C8+E8+G8+I8+K8</f>
      </c>
      <c r="N8" s="9">
        <f>D8+F8+H8+J8+L8</f>
      </c>
    </row>
    <row r="9" ht="24" customHeight="1" spans="1:14" x14ac:dyDescent="0.25">
      <c r="A9" s="6">
        <v>4</v>
      </c>
      <c r="B9" s="7" t="s">
        <v>15</v>
      </c>
      <c r="C9" s="8">
        <v>651</v>
      </c>
      <c r="D9" s="9">
        <v>422875719</v>
      </c>
      <c r="E9" s="8">
        <v>2835</v>
      </c>
      <c r="F9" s="9">
        <v>1842798361</v>
      </c>
      <c r="G9" s="8">
        <v>2</v>
      </c>
      <c r="H9" s="9">
        <v>1300000</v>
      </c>
      <c r="I9" s="8">
        <v>1</v>
      </c>
      <c r="J9" s="9">
        <v>250000</v>
      </c>
      <c r="K9" s="8">
        <v>356</v>
      </c>
      <c r="L9" s="9">
        <v>380000000</v>
      </c>
      <c r="M9" s="8">
        <f>C9+E9+G9+I9+K9</f>
      </c>
      <c r="N9" s="9">
        <f>D9+F9+H9+J9+L9</f>
      </c>
    </row>
    <row r="10" ht="24" customHeight="1" spans="1:14" x14ac:dyDescent="0.25">
      <c r="A10" s="10">
        <v>5</v>
      </c>
      <c r="B10" s="11" t="s">
        <v>16</v>
      </c>
      <c r="C10" s="12">
        <v>120</v>
      </c>
      <c r="D10" s="13">
        <v>10500000000</v>
      </c>
      <c r="E10" s="12">
        <v>45</v>
      </c>
      <c r="F10" s="13">
        <v>4200000000</v>
      </c>
      <c r="G10" s="12">
        <v>10</v>
      </c>
      <c r="H10" s="13">
        <v>800000000</v>
      </c>
      <c r="I10" s="12">
        <v>15</v>
      </c>
      <c r="J10" s="13">
        <v>1500000000</v>
      </c>
      <c r="K10" s="12">
        <v>35</v>
      </c>
      <c r="L10" s="13">
        <v>1800000000</v>
      </c>
      <c r="M10" s="12">
        <f>C10+E10+G10+I10+K10</f>
      </c>
      <c r="N10" s="13">
        <f>D10+F10+H10+J10+L10</f>
      </c>
    </row>
    <row r="11" ht="24" customHeight="1" spans="1:14" x14ac:dyDescent="0.25">
      <c r="A11" s="6">
        <v>6</v>
      </c>
      <c r="B11" s="7" t="s">
        <v>8</v>
      </c>
      <c r="C11" s="8">
        <v>14</v>
      </c>
      <c r="D11" s="9">
        <v>6907408</v>
      </c>
      <c r="E11" s="8">
        <v>1</v>
      </c>
      <c r="F11" s="9">
        <v>250000</v>
      </c>
      <c r="G11" s="8">
        <v>0</v>
      </c>
      <c r="H11" s="9">
        <v>0</v>
      </c>
      <c r="I11" s="8">
        <v>0</v>
      </c>
      <c r="J11" s="9">
        <v>0</v>
      </c>
      <c r="K11" s="8">
        <v>30</v>
      </c>
      <c r="L11" s="9">
        <v>35000000</v>
      </c>
      <c r="M11" s="8">
        <f>C11+E11+G11+I11+K11</f>
      </c>
      <c r="N11" s="9">
        <f>D11+F11+H11+J11+L11</f>
      </c>
    </row>
    <row r="12" ht="26" customHeight="1" spans="1:14" x14ac:dyDescent="0.25">
      <c r="A12" s="14" t="s">
        <v>17</v>
      </c>
      <c r="B12" s="14"/>
      <c r="C12" s="15">
        <f>C6+C7+C8+C9+C11</f>
      </c>
      <c r="D12" s="16">
        <f>D6+D7+D8+D9+D11</f>
      </c>
      <c r="E12" s="15">
        <f>E6+E7+E8+E9+E11</f>
      </c>
      <c r="F12" s="16">
        <f>F6+F7+F8+F9+F11</f>
      </c>
      <c r="G12" s="15">
        <f>G6+G7+G8+G9+G11</f>
      </c>
      <c r="H12" s="16">
        <f>H6+H7+H8+H9+H11</f>
      </c>
      <c r="I12" s="15">
        <f>I6+I7+I8+I9+I11</f>
      </c>
      <c r="J12" s="16">
        <f>J6+J7+J8+J9+J11</f>
      </c>
      <c r="K12" s="15">
        <f>K6+K7+K8+K9+K11</f>
      </c>
      <c r="L12" s="16">
        <f>L6+L7+L8+L9+L11</f>
      </c>
      <c r="M12" s="15">
        <f>M6+M7+M8+M9+M11</f>
      </c>
      <c r="N12" s="16">
        <f>N6+N7+N8+N9+N11</f>
      </c>
    </row>
    <row r="13" ht="26" customHeight="1" spans="1:14" x14ac:dyDescent="0.25">
      <c r="A13" s="17" t="s">
        <v>18</v>
      </c>
      <c r="B13" s="17"/>
      <c r="C13" s="18">
        <f>C10</f>
      </c>
      <c r="D13" s="19">
        <f>D10</f>
      </c>
      <c r="E13" s="18">
        <f>E10</f>
      </c>
      <c r="F13" s="19">
        <f>F10</f>
      </c>
      <c r="G13" s="18">
        <f>G10</f>
      </c>
      <c r="H13" s="19">
        <f>H10</f>
      </c>
      <c r="I13" s="18">
        <f>I10</f>
      </c>
      <c r="J13" s="19">
        <f>J10</f>
      </c>
      <c r="K13" s="18">
        <f>K10</f>
      </c>
      <c r="L13" s="19">
        <f>L10</f>
      </c>
      <c r="M13" s="18">
        <f>M10</f>
      </c>
      <c r="N13" s="19">
        <f>N10</f>
      </c>
    </row>
    <row r="14" ht="30" customHeight="1" spans="1:14" x14ac:dyDescent="0.25">
      <c r="A14" s="20" t="s">
        <v>19</v>
      </c>
      <c r="B14" s="20"/>
      <c r="C14" s="21">
        <f>C12+C13</f>
      </c>
      <c r="D14" s="22">
        <f>D12+D13</f>
      </c>
      <c r="E14" s="21">
        <f>E12+E13</f>
      </c>
      <c r="F14" s="22">
        <f>F12+F13</f>
      </c>
      <c r="G14" s="21">
        <f>G12+G13</f>
      </c>
      <c r="H14" s="22">
        <f>H12+H13</f>
      </c>
      <c r="I14" s="21">
        <f>I12+I13</f>
      </c>
      <c r="J14" s="22">
        <f>J12+J13</f>
      </c>
      <c r="K14" s="21">
        <f>K12+K13</f>
      </c>
      <c r="L14" s="22">
        <f>L12+L13</f>
      </c>
      <c r="M14" s="21">
        <f>M12+M13</f>
      </c>
      <c r="N14" s="22">
        <f>N12+N13</f>
      </c>
    </row>
    <row r="16" spans="2:14" x14ac:dyDescent="0.25"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ht="24" customHeight="1" spans="2:12" x14ac:dyDescent="0.25">
      <c r="B17" s="24" t="s">
        <v>21</v>
      </c>
      <c r="C17" s="24"/>
      <c r="D17" s="24"/>
      <c r="E17" s="25">
        <f>N12</f>
      </c>
      <c r="F17" s="25"/>
      <c r="G17" s="25"/>
      <c r="H17" s="26" t="s">
        <v>22</v>
      </c>
      <c r="I17" s="26"/>
      <c r="J17" s="26"/>
      <c r="K17" s="27">
        <f>N12/N14</f>
      </c>
      <c r="L17" s="27"/>
    </row>
    <row r="18" ht="24" customHeight="1" spans="2:12" x14ac:dyDescent="0.25">
      <c r="B18" s="28" t="s">
        <v>23</v>
      </c>
      <c r="C18" s="28"/>
      <c r="D18" s="28"/>
      <c r="E18" s="29">
        <f>N13</f>
      </c>
      <c r="F18" s="29"/>
      <c r="G18" s="29"/>
      <c r="H18" s="26" t="s">
        <v>24</v>
      </c>
      <c r="I18" s="26"/>
      <c r="J18" s="26"/>
      <c r="K18" s="30">
        <f>N13/N14</f>
      </c>
      <c r="L18" s="30"/>
    </row>
    <row r="19" ht="24" customHeight="1" spans="2:12" x14ac:dyDescent="0.25">
      <c r="B19" s="31" t="s">
        <v>25</v>
      </c>
      <c r="C19" s="31"/>
      <c r="D19" s="31"/>
      <c r="E19" s="32">
        <f>N14</f>
      </c>
      <c r="F19" s="32"/>
      <c r="G19" s="32"/>
      <c r="H19" s="26" t="s">
        <v>26</v>
      </c>
      <c r="I19" s="26"/>
      <c r="J19" s="26"/>
      <c r="K19" s="33">
        <v>1</v>
      </c>
      <c r="L19" s="33"/>
    </row>
  </sheetData>
  <mergeCells count="26">
    <mergeCell ref="A1:N1"/>
    <mergeCell ref="A2:N2"/>
    <mergeCell ref="C4:D4"/>
    <mergeCell ref="E4:F4"/>
    <mergeCell ref="G4:H4"/>
    <mergeCell ref="I4:J4"/>
    <mergeCell ref="K4:L4"/>
    <mergeCell ref="M4:N4"/>
    <mergeCell ref="A4:A5"/>
    <mergeCell ref="B4:B5"/>
    <mergeCell ref="A12:B12"/>
    <mergeCell ref="A13:B13"/>
    <mergeCell ref="A14:B14"/>
    <mergeCell ref="B16:N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 outlineLevelRow="0" outlineLevelCol="0" x14ac:dyDescent="55"/>
  <cols>
    <col min="1" max="1" width="8" customWidth="1"/>
    <col min="2" max="2" width="34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  <col min="9" max="9" width="10" customWidth="1"/>
    <col min="10" max="10" width="18" customWidth="1"/>
    <col min="11" max="11" width="10" customWidth="1"/>
    <col min="12" max="12" width="18" customWidth="1"/>
    <col min="13" max="13" width="12" customWidth="1"/>
    <col min="14" max="14" width="22" customWidth="1"/>
  </cols>
  <sheetData>
    <row r="1" ht="32" customHeight="1" spans="1:14" x14ac:dyDescent="0.25">
      <c r="A1" s="1" t="s">
        <v>27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" customHeight="1" x14ac:dyDescent="0.25"/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</row>
    <row r="5" ht="22" customHeight="1" spans="1:14" x14ac:dyDescent="0.25">
      <c r="A5" s="3"/>
      <c r="B5" s="3"/>
      <c r="C5" s="4" t="s">
        <v>10</v>
      </c>
      <c r="D5" s="5" t="s">
        <v>11</v>
      </c>
      <c r="E5" s="4" t="s">
        <v>10</v>
      </c>
      <c r="F5" s="5" t="s">
        <v>11</v>
      </c>
      <c r="G5" s="4" t="s">
        <v>10</v>
      </c>
      <c r="H5" s="5" t="s">
        <v>11</v>
      </c>
      <c r="I5" s="4" t="s">
        <v>10</v>
      </c>
      <c r="J5" s="5" t="s">
        <v>11</v>
      </c>
      <c r="K5" s="4" t="s">
        <v>10</v>
      </c>
      <c r="L5" s="5" t="s">
        <v>11</v>
      </c>
      <c r="M5" s="4" t="s">
        <v>10</v>
      </c>
      <c r="N5" s="5" t="s">
        <v>11</v>
      </c>
    </row>
    <row r="6" ht="24" customHeight="1" spans="1:14" x14ac:dyDescent="0.25">
      <c r="A6" s="6">
        <v>1</v>
      </c>
      <c r="B6" s="7" t="s">
        <v>12</v>
      </c>
      <c r="C6" s="8">
        <v>220</v>
      </c>
      <c r="D6" s="9">
        <v>9100000000</v>
      </c>
      <c r="E6" s="8">
        <v>35</v>
      </c>
      <c r="F6" s="9">
        <v>1450000000</v>
      </c>
      <c r="G6" s="8">
        <v>2</v>
      </c>
      <c r="H6" s="9">
        <v>75000000</v>
      </c>
      <c r="I6" s="8">
        <v>18</v>
      </c>
      <c r="J6" s="9">
        <v>720000000</v>
      </c>
      <c r="K6" s="8">
        <v>4</v>
      </c>
      <c r="L6" s="9">
        <v>160000000</v>
      </c>
      <c r="M6" s="8">
        <f>C6+E6+G6+I6+K6</f>
      </c>
      <c r="N6" s="9">
        <f>D6+F6+H6+J6+L6</f>
      </c>
    </row>
    <row r="7" ht="24" customHeight="1" spans="1:14" x14ac:dyDescent="0.25">
      <c r="A7" s="6">
        <v>2</v>
      </c>
      <c r="B7" s="7" t="s">
        <v>13</v>
      </c>
      <c r="C7" s="8">
        <v>110</v>
      </c>
      <c r="D7" s="9">
        <v>385000000</v>
      </c>
      <c r="E7" s="8">
        <v>45</v>
      </c>
      <c r="F7" s="9">
        <v>160000000</v>
      </c>
      <c r="G7" s="8">
        <v>0</v>
      </c>
      <c r="H7" s="9">
        <v>0</v>
      </c>
      <c r="I7" s="8">
        <v>0</v>
      </c>
      <c r="J7" s="9">
        <v>0</v>
      </c>
      <c r="K7" s="8">
        <v>12</v>
      </c>
      <c r="L7" s="9">
        <v>45000000</v>
      </c>
      <c r="M7" s="8">
        <f>C7+E7+G7+I7+K7</f>
      </c>
      <c r="N7" s="9">
        <f>D7+F7+H7+J7+L7</f>
      </c>
    </row>
    <row r="8" ht="24" customHeight="1" spans="1:14" x14ac:dyDescent="0.25">
      <c r="A8" s="6">
        <v>3</v>
      </c>
      <c r="B8" s="7" t="s">
        <v>14</v>
      </c>
      <c r="C8" s="8">
        <v>750</v>
      </c>
      <c r="D8" s="9">
        <v>900000000</v>
      </c>
      <c r="E8" s="8">
        <v>1700</v>
      </c>
      <c r="F8" s="9">
        <v>2050000000</v>
      </c>
      <c r="G8" s="8">
        <v>1</v>
      </c>
      <c r="H8" s="9">
        <v>595000</v>
      </c>
      <c r="I8" s="8">
        <v>0</v>
      </c>
      <c r="J8" s="9">
        <v>0</v>
      </c>
      <c r="K8" s="8">
        <v>200</v>
      </c>
      <c r="L8" s="9">
        <v>230000000</v>
      </c>
      <c r="M8" s="8">
        <f>C8+E8+G8+I8+K8</f>
      </c>
      <c r="N8" s="9">
        <f>D8+F8+H8+J8+L8</f>
      </c>
    </row>
    <row r="9" ht="24" customHeight="1" spans="1:14" x14ac:dyDescent="0.25">
      <c r="A9" s="6">
        <v>4</v>
      </c>
      <c r="B9" s="7" t="s">
        <v>15</v>
      </c>
      <c r="C9" s="8">
        <v>350</v>
      </c>
      <c r="D9" s="9">
        <v>230000000</v>
      </c>
      <c r="E9" s="8">
        <v>1500</v>
      </c>
      <c r="F9" s="9">
        <v>980000000</v>
      </c>
      <c r="G9" s="8">
        <v>1</v>
      </c>
      <c r="H9" s="9">
        <v>650000</v>
      </c>
      <c r="I9" s="8">
        <v>1</v>
      </c>
      <c r="J9" s="9">
        <v>250000</v>
      </c>
      <c r="K9" s="8">
        <v>180</v>
      </c>
      <c r="L9" s="9">
        <v>200000000</v>
      </c>
      <c r="M9" s="8">
        <f>C9+E9+G9+I9+K9</f>
      </c>
      <c r="N9" s="9">
        <f>D9+F9+H9+J9+L9</f>
      </c>
    </row>
    <row r="10" ht="24" customHeight="1" spans="1:14" x14ac:dyDescent="0.25">
      <c r="A10" s="10">
        <v>5</v>
      </c>
      <c r="B10" s="11" t="s">
        <v>16</v>
      </c>
      <c r="C10" s="12">
        <v>50</v>
      </c>
      <c r="D10" s="13">
        <v>4200000000</v>
      </c>
      <c r="E10" s="12">
        <v>18</v>
      </c>
      <c r="F10" s="13">
        <v>1700000000</v>
      </c>
      <c r="G10" s="12">
        <v>4</v>
      </c>
      <c r="H10" s="13">
        <v>320000000</v>
      </c>
      <c r="I10" s="12">
        <v>6</v>
      </c>
      <c r="J10" s="13">
        <v>600000000</v>
      </c>
      <c r="K10" s="12">
        <v>14</v>
      </c>
      <c r="L10" s="13">
        <v>680000000</v>
      </c>
      <c r="M10" s="12">
        <f>C10+E10+G10+I10+K10</f>
      </c>
      <c r="N10" s="13">
        <f>D10+F10+H10+J10+L10</f>
      </c>
    </row>
    <row r="11" ht="24" customHeight="1" spans="1:14" x14ac:dyDescent="0.25">
      <c r="A11" s="6">
        <v>6</v>
      </c>
      <c r="B11" s="7" t="s">
        <v>8</v>
      </c>
      <c r="C11" s="8">
        <v>8</v>
      </c>
      <c r="D11" s="9">
        <v>3800000</v>
      </c>
      <c r="E11" s="8">
        <v>1</v>
      </c>
      <c r="F11" s="9">
        <v>250000</v>
      </c>
      <c r="G11" s="8">
        <v>0</v>
      </c>
      <c r="H11" s="9">
        <v>0</v>
      </c>
      <c r="I11" s="8">
        <v>0</v>
      </c>
      <c r="J11" s="9">
        <v>0</v>
      </c>
      <c r="K11" s="8">
        <v>15</v>
      </c>
      <c r="L11" s="9">
        <v>18000000</v>
      </c>
      <c r="M11" s="8">
        <f>C11+E11+G11+I11+K11</f>
      </c>
      <c r="N11" s="9">
        <f>D11+F11+H11+J11+L11</f>
      </c>
    </row>
    <row r="12" ht="26" customHeight="1" spans="1:14" x14ac:dyDescent="0.25">
      <c r="A12" s="14" t="s">
        <v>17</v>
      </c>
      <c r="B12" s="14"/>
      <c r="C12" s="15">
        <f>C6+C7+C8+C9+C11</f>
      </c>
      <c r="D12" s="16">
        <f>D6+D7+D8+D9+D11</f>
      </c>
      <c r="E12" s="15">
        <f>E6+E7+E8+E9+E11</f>
      </c>
      <c r="F12" s="16">
        <f>F6+F7+F8+F9+F11</f>
      </c>
      <c r="G12" s="15">
        <f>G6+G7+G8+G9+G11</f>
      </c>
      <c r="H12" s="16">
        <f>H6+H7+H8+H9+H11</f>
      </c>
      <c r="I12" s="15">
        <f>I6+I7+I8+I9+I11</f>
      </c>
      <c r="J12" s="16">
        <f>J6+J7+J8+J9+J11</f>
      </c>
      <c r="K12" s="15">
        <f>K6+K7+K8+K9+K11</f>
      </c>
      <c r="L12" s="16">
        <f>L6+L7+L8+L9+L11</f>
      </c>
      <c r="M12" s="15">
        <f>M6+M7+M8+M9+M11</f>
      </c>
      <c r="N12" s="16">
        <f>N6+N7+N8+N9+N11</f>
      </c>
    </row>
    <row r="13" ht="26" customHeight="1" spans="1:14" x14ac:dyDescent="0.25">
      <c r="A13" s="17" t="s">
        <v>18</v>
      </c>
      <c r="B13" s="17"/>
      <c r="C13" s="18">
        <f>C10</f>
      </c>
      <c r="D13" s="19">
        <f>D10</f>
      </c>
      <c r="E13" s="18">
        <f>E10</f>
      </c>
      <c r="F13" s="19">
        <f>F10</f>
      </c>
      <c r="G13" s="18">
        <f>G10</f>
      </c>
      <c r="H13" s="19">
        <f>H10</f>
      </c>
      <c r="I13" s="18">
        <f>I10</f>
      </c>
      <c r="J13" s="19">
        <f>J10</f>
      </c>
      <c r="K13" s="18">
        <f>K10</f>
      </c>
      <c r="L13" s="19">
        <f>L10</f>
      </c>
      <c r="M13" s="18">
        <f>M10</f>
      </c>
      <c r="N13" s="19">
        <f>N10</f>
      </c>
    </row>
    <row r="14" ht="30" customHeight="1" spans="1:14" x14ac:dyDescent="0.25">
      <c r="A14" s="20" t="s">
        <v>19</v>
      </c>
      <c r="B14" s="20"/>
      <c r="C14" s="21">
        <f>C12+C13</f>
      </c>
      <c r="D14" s="22">
        <f>D12+D13</f>
      </c>
      <c r="E14" s="21">
        <f>E12+E13</f>
      </c>
      <c r="F14" s="22">
        <f>F12+F13</f>
      </c>
      <c r="G14" s="21">
        <f>G12+G13</f>
      </c>
      <c r="H14" s="22">
        <f>H12+H13</f>
      </c>
      <c r="I14" s="21">
        <f>I12+I13</f>
      </c>
      <c r="J14" s="22">
        <f>J12+J13</f>
      </c>
      <c r="K14" s="21">
        <f>K12+K13</f>
      </c>
      <c r="L14" s="22">
        <f>L12+L13</f>
      </c>
      <c r="M14" s="21">
        <f>M12+M13</f>
      </c>
      <c r="N14" s="22">
        <f>N12+N13</f>
      </c>
    </row>
    <row r="16" spans="2:14" x14ac:dyDescent="0.25"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ht="24" customHeight="1" spans="2:12" x14ac:dyDescent="0.25">
      <c r="B17" s="24" t="s">
        <v>21</v>
      </c>
      <c r="C17" s="24"/>
      <c r="D17" s="24"/>
      <c r="E17" s="25">
        <f>N12</f>
      </c>
      <c r="F17" s="25"/>
      <c r="G17" s="25"/>
      <c r="H17" s="26" t="s">
        <v>22</v>
      </c>
      <c r="I17" s="26"/>
      <c r="J17" s="26"/>
      <c r="K17" s="27">
        <f>N12/N14</f>
      </c>
      <c r="L17" s="27"/>
    </row>
    <row r="18" ht="24" customHeight="1" spans="2:12" x14ac:dyDescent="0.25">
      <c r="B18" s="28" t="s">
        <v>23</v>
      </c>
      <c r="C18" s="28"/>
      <c r="D18" s="28"/>
      <c r="E18" s="29">
        <f>N13</f>
      </c>
      <c r="F18" s="29"/>
      <c r="G18" s="29"/>
      <c r="H18" s="26" t="s">
        <v>24</v>
      </c>
      <c r="I18" s="26"/>
      <c r="J18" s="26"/>
      <c r="K18" s="30">
        <f>N13/N14</f>
      </c>
      <c r="L18" s="30"/>
    </row>
    <row r="19" ht="24" customHeight="1" spans="2:12" x14ac:dyDescent="0.25">
      <c r="B19" s="31" t="s">
        <v>25</v>
      </c>
      <c r="C19" s="31"/>
      <c r="D19" s="31"/>
      <c r="E19" s="32">
        <f>N14</f>
      </c>
      <c r="F19" s="32"/>
      <c r="G19" s="32"/>
      <c r="H19" s="26" t="s">
        <v>26</v>
      </c>
      <c r="I19" s="26"/>
      <c r="J19" s="26"/>
      <c r="K19" s="33">
        <v>1</v>
      </c>
      <c r="L19" s="33"/>
    </row>
  </sheetData>
  <mergeCells count="26">
    <mergeCell ref="A1:N1"/>
    <mergeCell ref="A2:N2"/>
    <mergeCell ref="C4:D4"/>
    <mergeCell ref="E4:F4"/>
    <mergeCell ref="G4:H4"/>
    <mergeCell ref="I4:J4"/>
    <mergeCell ref="K4:L4"/>
    <mergeCell ref="M4:N4"/>
    <mergeCell ref="A4:A5"/>
    <mergeCell ref="B4:B5"/>
    <mergeCell ref="A12:B12"/>
    <mergeCell ref="A13:B13"/>
    <mergeCell ref="A14:B14"/>
    <mergeCell ref="B16:N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 outlineLevelRow="0" outlineLevelCol="0" x14ac:dyDescent="55"/>
  <cols>
    <col min="1" max="1" width="8" customWidth="1"/>
    <col min="2" max="2" width="34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  <col min="9" max="9" width="10" customWidth="1"/>
    <col min="10" max="10" width="18" customWidth="1"/>
    <col min="11" max="11" width="10" customWidth="1"/>
    <col min="12" max="12" width="18" customWidth="1"/>
    <col min="13" max="13" width="12" customWidth="1"/>
    <col min="14" max="14" width="22" customWidth="1"/>
  </cols>
  <sheetData>
    <row r="1" ht="32" customHeight="1" spans="1:14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" customHeight="1" x14ac:dyDescent="0.25"/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</row>
    <row r="5" ht="22" customHeight="1" spans="1:14" x14ac:dyDescent="0.25">
      <c r="A5" s="3"/>
      <c r="B5" s="3"/>
      <c r="C5" s="4" t="s">
        <v>10</v>
      </c>
      <c r="D5" s="5" t="s">
        <v>11</v>
      </c>
      <c r="E5" s="4" t="s">
        <v>10</v>
      </c>
      <c r="F5" s="5" t="s">
        <v>11</v>
      </c>
      <c r="G5" s="4" t="s">
        <v>10</v>
      </c>
      <c r="H5" s="5" t="s">
        <v>11</v>
      </c>
      <c r="I5" s="4" t="s">
        <v>10</v>
      </c>
      <c r="J5" s="5" t="s">
        <v>11</v>
      </c>
      <c r="K5" s="4" t="s">
        <v>10</v>
      </c>
      <c r="L5" s="5" t="s">
        <v>11</v>
      </c>
      <c r="M5" s="4" t="s">
        <v>10</v>
      </c>
      <c r="N5" s="5" t="s">
        <v>11</v>
      </c>
    </row>
    <row r="6" ht="24" customHeight="1" spans="1:14" x14ac:dyDescent="0.25">
      <c r="A6" s="6">
        <v>1</v>
      </c>
      <c r="B6" s="7" t="s">
        <v>12</v>
      </c>
      <c r="C6" s="8">
        <v>35</v>
      </c>
      <c r="D6" s="9">
        <v>1400000000</v>
      </c>
      <c r="E6" s="8">
        <v>6</v>
      </c>
      <c r="F6" s="9">
        <v>245000000</v>
      </c>
      <c r="G6" s="8">
        <v>0</v>
      </c>
      <c r="H6" s="9">
        <v>0</v>
      </c>
      <c r="I6" s="8">
        <v>2</v>
      </c>
      <c r="J6" s="9">
        <v>80000000</v>
      </c>
      <c r="K6" s="8">
        <v>1</v>
      </c>
      <c r="L6" s="9">
        <v>40000000</v>
      </c>
      <c r="M6" s="8">
        <f>C6+E6+G6+I6+K6</f>
      </c>
      <c r="N6" s="9">
        <f>D6+F6+H6+J6+L6</f>
      </c>
    </row>
    <row r="7" ht="24" customHeight="1" spans="1:14" x14ac:dyDescent="0.25">
      <c r="A7" s="6">
        <v>2</v>
      </c>
      <c r="B7" s="7" t="s">
        <v>13</v>
      </c>
      <c r="C7" s="8">
        <v>18</v>
      </c>
      <c r="D7" s="9">
        <v>65000000</v>
      </c>
      <c r="E7" s="8">
        <v>8</v>
      </c>
      <c r="F7" s="9">
        <v>28000000</v>
      </c>
      <c r="G7" s="8">
        <v>0</v>
      </c>
      <c r="H7" s="9">
        <v>0</v>
      </c>
      <c r="I7" s="8">
        <v>0</v>
      </c>
      <c r="J7" s="9">
        <v>0</v>
      </c>
      <c r="K7" s="8">
        <v>2</v>
      </c>
      <c r="L7" s="9">
        <v>7000000</v>
      </c>
      <c r="M7" s="8">
        <f>C7+E7+G7+I7+K7</f>
      </c>
      <c r="N7" s="9">
        <f>D7+F7+H7+J7+L7</f>
      </c>
    </row>
    <row r="8" ht="24" customHeight="1" spans="1:14" x14ac:dyDescent="0.25">
      <c r="A8" s="6">
        <v>3</v>
      </c>
      <c r="B8" s="7" t="s">
        <v>14</v>
      </c>
      <c r="C8" s="8">
        <v>120</v>
      </c>
      <c r="D8" s="9">
        <v>145000000</v>
      </c>
      <c r="E8" s="8">
        <v>280</v>
      </c>
      <c r="F8" s="9">
        <v>340000000</v>
      </c>
      <c r="G8" s="8">
        <v>0</v>
      </c>
      <c r="H8" s="9">
        <v>0</v>
      </c>
      <c r="I8" s="8">
        <v>0</v>
      </c>
      <c r="J8" s="9">
        <v>0</v>
      </c>
      <c r="K8" s="8">
        <v>35</v>
      </c>
      <c r="L8" s="9">
        <v>40000000</v>
      </c>
      <c r="M8" s="8">
        <f>C8+E8+G8+I8+K8</f>
      </c>
      <c r="N8" s="9">
        <f>D8+F8+H8+J8+L8</f>
      </c>
    </row>
    <row r="9" ht="24" customHeight="1" spans="1:14" x14ac:dyDescent="0.25">
      <c r="A9" s="6">
        <v>4</v>
      </c>
      <c r="B9" s="7" t="s">
        <v>15</v>
      </c>
      <c r="C9" s="8">
        <v>55</v>
      </c>
      <c r="D9" s="9">
        <v>36000000</v>
      </c>
      <c r="E9" s="8">
        <v>240</v>
      </c>
      <c r="F9" s="9">
        <v>160000000</v>
      </c>
      <c r="G9" s="8">
        <v>0</v>
      </c>
      <c r="H9" s="9">
        <v>0</v>
      </c>
      <c r="I9" s="8">
        <v>0</v>
      </c>
      <c r="J9" s="9">
        <v>0</v>
      </c>
      <c r="K9" s="8">
        <v>30</v>
      </c>
      <c r="L9" s="9">
        <v>34000000</v>
      </c>
      <c r="M9" s="8">
        <f>C9+E9+G9+I9+K9</f>
      </c>
      <c r="N9" s="9">
        <f>D9+F9+H9+J9+L9</f>
      </c>
    </row>
    <row r="10" ht="24" customHeight="1" spans="1:14" x14ac:dyDescent="0.25">
      <c r="A10" s="10">
        <v>5</v>
      </c>
      <c r="B10" s="11" t="s">
        <v>16</v>
      </c>
      <c r="C10" s="12">
        <v>10</v>
      </c>
      <c r="D10" s="13">
        <v>850000000</v>
      </c>
      <c r="E10" s="12">
        <v>4</v>
      </c>
      <c r="F10" s="13">
        <v>340000000</v>
      </c>
      <c r="G10" s="12">
        <v>1</v>
      </c>
      <c r="H10" s="13">
        <v>80000000</v>
      </c>
      <c r="I10" s="12">
        <v>1</v>
      </c>
      <c r="J10" s="13">
        <v>100000000</v>
      </c>
      <c r="K10" s="12">
        <v>3</v>
      </c>
      <c r="L10" s="13">
        <v>130000000</v>
      </c>
      <c r="M10" s="12">
        <f>C10+E10+G10+I10+K10</f>
      </c>
      <c r="N10" s="13">
        <f>D10+F10+H10+J10+L10</f>
      </c>
    </row>
    <row r="11" ht="24" customHeight="1" spans="1:14" x14ac:dyDescent="0.25">
      <c r="A11" s="6">
        <v>6</v>
      </c>
      <c r="B11" s="7" t="s">
        <v>8</v>
      </c>
      <c r="C11" s="8">
        <v>1</v>
      </c>
      <c r="D11" s="9">
        <v>500000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2</v>
      </c>
      <c r="L11" s="9">
        <v>2500000</v>
      </c>
      <c r="M11" s="8">
        <f>C11+E11+G11+I11+K11</f>
      </c>
      <c r="N11" s="9">
        <f>D11+F11+H11+J11+L11</f>
      </c>
    </row>
    <row r="12" ht="26" customHeight="1" spans="1:14" x14ac:dyDescent="0.25">
      <c r="A12" s="14" t="s">
        <v>17</v>
      </c>
      <c r="B12" s="14"/>
      <c r="C12" s="15">
        <f>C6+C7+C8+C9+C11</f>
      </c>
      <c r="D12" s="16">
        <f>D6+D7+D8+D9+D11</f>
      </c>
      <c r="E12" s="15">
        <f>E6+E7+E8+E9+E11</f>
      </c>
      <c r="F12" s="16">
        <f>F6+F7+F8+F9+F11</f>
      </c>
      <c r="G12" s="15">
        <f>G6+G7+G8+G9+G11</f>
      </c>
      <c r="H12" s="16">
        <f>H6+H7+H8+H9+H11</f>
      </c>
      <c r="I12" s="15">
        <f>I6+I7+I8+I9+I11</f>
      </c>
      <c r="J12" s="16">
        <f>J6+J7+J8+J9+J11</f>
      </c>
      <c r="K12" s="15">
        <f>K6+K7+K8+K9+K11</f>
      </c>
      <c r="L12" s="16">
        <f>L6+L7+L8+L9+L11</f>
      </c>
      <c r="M12" s="15">
        <f>M6+M7+M8+M9+M11</f>
      </c>
      <c r="N12" s="16">
        <f>N6+N7+N8+N9+N11</f>
      </c>
    </row>
    <row r="13" ht="26" customHeight="1" spans="1:14" x14ac:dyDescent="0.25">
      <c r="A13" s="17" t="s">
        <v>18</v>
      </c>
      <c r="B13" s="17"/>
      <c r="C13" s="18">
        <f>C10</f>
      </c>
      <c r="D13" s="19">
        <f>D10</f>
      </c>
      <c r="E13" s="18">
        <f>E10</f>
      </c>
      <c r="F13" s="19">
        <f>F10</f>
      </c>
      <c r="G13" s="18">
        <f>G10</f>
      </c>
      <c r="H13" s="19">
        <f>H10</f>
      </c>
      <c r="I13" s="18">
        <f>I10</f>
      </c>
      <c r="J13" s="19">
        <f>J10</f>
      </c>
      <c r="K13" s="18">
        <f>K10</f>
      </c>
      <c r="L13" s="19">
        <f>L10</f>
      </c>
      <c r="M13" s="18">
        <f>M10</f>
      </c>
      <c r="N13" s="19">
        <f>N10</f>
      </c>
    </row>
    <row r="14" ht="30" customHeight="1" spans="1:14" x14ac:dyDescent="0.25">
      <c r="A14" s="20" t="s">
        <v>19</v>
      </c>
      <c r="B14" s="20"/>
      <c r="C14" s="21">
        <f>C12+C13</f>
      </c>
      <c r="D14" s="22">
        <f>D12+D13</f>
      </c>
      <c r="E14" s="21">
        <f>E12+E13</f>
      </c>
      <c r="F14" s="22">
        <f>F12+F13</f>
      </c>
      <c r="G14" s="21">
        <f>G12+G13</f>
      </c>
      <c r="H14" s="22">
        <f>H12+H13</f>
      </c>
      <c r="I14" s="21">
        <f>I12+I13</f>
      </c>
      <c r="J14" s="22">
        <f>J12+J13</f>
      </c>
      <c r="K14" s="21">
        <f>K12+K13</f>
      </c>
      <c r="L14" s="22">
        <f>L12+L13</f>
      </c>
      <c r="M14" s="21">
        <f>M12+M13</f>
      </c>
      <c r="N14" s="22">
        <f>N12+N13</f>
      </c>
    </row>
    <row r="16" spans="2:14" x14ac:dyDescent="0.25"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ht="24" customHeight="1" spans="2:12" x14ac:dyDescent="0.25">
      <c r="B17" s="24" t="s">
        <v>21</v>
      </c>
      <c r="C17" s="24"/>
      <c r="D17" s="24"/>
      <c r="E17" s="25">
        <f>N12</f>
      </c>
      <c r="F17" s="25"/>
      <c r="G17" s="25"/>
      <c r="H17" s="26" t="s">
        <v>22</v>
      </c>
      <c r="I17" s="26"/>
      <c r="J17" s="26"/>
      <c r="K17" s="27">
        <f>N12/N14</f>
      </c>
      <c r="L17" s="27"/>
    </row>
    <row r="18" ht="24" customHeight="1" spans="2:12" x14ac:dyDescent="0.25">
      <c r="B18" s="28" t="s">
        <v>23</v>
      </c>
      <c r="C18" s="28"/>
      <c r="D18" s="28"/>
      <c r="E18" s="29">
        <f>N13</f>
      </c>
      <c r="F18" s="29"/>
      <c r="G18" s="29"/>
      <c r="H18" s="26" t="s">
        <v>24</v>
      </c>
      <c r="I18" s="26"/>
      <c r="J18" s="26"/>
      <c r="K18" s="30">
        <f>N13/N14</f>
      </c>
      <c r="L18" s="30"/>
    </row>
    <row r="19" ht="24" customHeight="1" spans="2:12" x14ac:dyDescent="0.25">
      <c r="B19" s="31" t="s">
        <v>25</v>
      </c>
      <c r="C19" s="31"/>
      <c r="D19" s="31"/>
      <c r="E19" s="32">
        <f>N14</f>
      </c>
      <c r="F19" s="32"/>
      <c r="G19" s="32"/>
      <c r="H19" s="26" t="s">
        <v>26</v>
      </c>
      <c r="I19" s="26"/>
      <c r="J19" s="26"/>
      <c r="K19" s="33">
        <v>1</v>
      </c>
      <c r="L19" s="33"/>
    </row>
  </sheetData>
  <mergeCells count="26">
    <mergeCell ref="A1:N1"/>
    <mergeCell ref="A2:N2"/>
    <mergeCell ref="C4:D4"/>
    <mergeCell ref="E4:F4"/>
    <mergeCell ref="G4:H4"/>
    <mergeCell ref="I4:J4"/>
    <mergeCell ref="K4:L4"/>
    <mergeCell ref="M4:N4"/>
    <mergeCell ref="A4:A5"/>
    <mergeCell ref="B4:B5"/>
    <mergeCell ref="A12:B12"/>
    <mergeCell ref="A13:B13"/>
    <mergeCell ref="A14:B14"/>
    <mergeCell ref="B16:N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 outlineLevelRow="0" outlineLevelCol="0" x14ac:dyDescent="55"/>
  <cols>
    <col min="1" max="1" width="8" customWidth="1"/>
    <col min="2" max="2" width="34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  <col min="9" max="9" width="10" customWidth="1"/>
    <col min="10" max="10" width="18" customWidth="1"/>
    <col min="11" max="11" width="10" customWidth="1"/>
    <col min="12" max="12" width="18" customWidth="1"/>
    <col min="13" max="13" width="12" customWidth="1"/>
    <col min="14" max="14" width="22" customWidth="1"/>
  </cols>
  <sheetData>
    <row r="1" ht="32" customHeight="1" spans="1:14" x14ac:dyDescent="0.25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" customHeight="1" x14ac:dyDescent="0.25"/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</row>
    <row r="5" ht="22" customHeight="1" spans="1:14" x14ac:dyDescent="0.25">
      <c r="A5" s="3"/>
      <c r="B5" s="3"/>
      <c r="C5" s="4" t="s">
        <v>10</v>
      </c>
      <c r="D5" s="5" t="s">
        <v>11</v>
      </c>
      <c r="E5" s="4" t="s">
        <v>10</v>
      </c>
      <c r="F5" s="5" t="s">
        <v>11</v>
      </c>
      <c r="G5" s="4" t="s">
        <v>10</v>
      </c>
      <c r="H5" s="5" t="s">
        <v>11</v>
      </c>
      <c r="I5" s="4" t="s">
        <v>10</v>
      </c>
      <c r="J5" s="5" t="s">
        <v>11</v>
      </c>
      <c r="K5" s="4" t="s">
        <v>10</v>
      </c>
      <c r="L5" s="5" t="s">
        <v>11</v>
      </c>
      <c r="M5" s="4" t="s">
        <v>10</v>
      </c>
      <c r="N5" s="5" t="s">
        <v>11</v>
      </c>
    </row>
    <row r="6" ht="24" customHeight="1" spans="1:14" x14ac:dyDescent="0.25">
      <c r="A6" s="6">
        <v>1</v>
      </c>
      <c r="B6" s="7" t="s">
        <v>12</v>
      </c>
      <c r="C6" s="8">
        <v>130</v>
      </c>
      <c r="D6" s="9">
        <v>5200000000</v>
      </c>
      <c r="E6" s="8">
        <v>22</v>
      </c>
      <c r="F6" s="9">
        <v>885000000</v>
      </c>
      <c r="G6" s="8">
        <v>2</v>
      </c>
      <c r="H6" s="9">
        <v>70461859</v>
      </c>
      <c r="I6" s="8">
        <v>9</v>
      </c>
      <c r="J6" s="9">
        <v>360000000</v>
      </c>
      <c r="K6" s="8">
        <v>2</v>
      </c>
      <c r="L6" s="9">
        <v>80000000</v>
      </c>
      <c r="M6" s="8">
        <f>C6+E6+G6+I6+K6</f>
      </c>
      <c r="N6" s="9">
        <f>D6+F6+H6+J6+L6</f>
      </c>
    </row>
    <row r="7" ht="24" customHeight="1" spans="1:14" x14ac:dyDescent="0.25">
      <c r="A7" s="6">
        <v>2</v>
      </c>
      <c r="B7" s="7" t="s">
        <v>13</v>
      </c>
      <c r="C7" s="8">
        <v>65</v>
      </c>
      <c r="D7" s="9">
        <v>230000000</v>
      </c>
      <c r="E7" s="8">
        <v>32</v>
      </c>
      <c r="F7" s="9">
        <v>115000000</v>
      </c>
      <c r="G7" s="8">
        <v>0</v>
      </c>
      <c r="H7" s="9">
        <v>0</v>
      </c>
      <c r="I7" s="8">
        <v>0</v>
      </c>
      <c r="J7" s="9">
        <v>0</v>
      </c>
      <c r="K7" s="8">
        <v>8</v>
      </c>
      <c r="L7" s="9">
        <v>28000000</v>
      </c>
      <c r="M7" s="8">
        <f>C7+E7+G7+I7+K7</f>
      </c>
      <c r="N7" s="9">
        <f>D7+F7+H7+J7+L7</f>
      </c>
    </row>
    <row r="8" ht="24" customHeight="1" spans="1:14" x14ac:dyDescent="0.25">
      <c r="A8" s="6">
        <v>3</v>
      </c>
      <c r="B8" s="7" t="s">
        <v>14</v>
      </c>
      <c r="C8" s="8">
        <v>450</v>
      </c>
      <c r="D8" s="9">
        <v>540000000</v>
      </c>
      <c r="E8" s="8">
        <v>1100</v>
      </c>
      <c r="F8" s="9">
        <v>1320000000</v>
      </c>
      <c r="G8" s="8">
        <v>0</v>
      </c>
      <c r="H8" s="9">
        <v>0</v>
      </c>
      <c r="I8" s="8">
        <v>0</v>
      </c>
      <c r="J8" s="9">
        <v>0</v>
      </c>
      <c r="K8" s="8">
        <v>130</v>
      </c>
      <c r="L8" s="9">
        <v>150000000</v>
      </c>
      <c r="M8" s="8">
        <f>C8+E8+G8+I8+K8</f>
      </c>
      <c r="N8" s="9">
        <f>D8+F8+H8+J8+L8</f>
      </c>
    </row>
    <row r="9" ht="24" customHeight="1" spans="1:14" x14ac:dyDescent="0.25">
      <c r="A9" s="6">
        <v>4</v>
      </c>
      <c r="B9" s="7" t="s">
        <v>15</v>
      </c>
      <c r="C9" s="8">
        <v>210</v>
      </c>
      <c r="D9" s="9">
        <v>135000000</v>
      </c>
      <c r="E9" s="8">
        <v>950</v>
      </c>
      <c r="F9" s="9">
        <v>620000000</v>
      </c>
      <c r="G9" s="8">
        <v>1</v>
      </c>
      <c r="H9" s="9">
        <v>650000</v>
      </c>
      <c r="I9" s="8">
        <v>0</v>
      </c>
      <c r="J9" s="9">
        <v>0</v>
      </c>
      <c r="K9" s="8">
        <v>120</v>
      </c>
      <c r="L9" s="9">
        <v>130000000</v>
      </c>
      <c r="M9" s="8">
        <f>C9+E9+G9+I9+K9</f>
      </c>
      <c r="N9" s="9">
        <f>D9+F9+H9+J9+L9</f>
      </c>
    </row>
    <row r="10" ht="24" customHeight="1" spans="1:14" x14ac:dyDescent="0.25">
      <c r="A10" s="10">
        <v>5</v>
      </c>
      <c r="B10" s="11" t="s">
        <v>16</v>
      </c>
      <c r="C10" s="12">
        <v>50</v>
      </c>
      <c r="D10" s="13">
        <v>4400000000</v>
      </c>
      <c r="E10" s="12">
        <v>18</v>
      </c>
      <c r="F10" s="13">
        <v>1650000000</v>
      </c>
      <c r="G10" s="12">
        <v>4</v>
      </c>
      <c r="H10" s="13">
        <v>320000000</v>
      </c>
      <c r="I10" s="12">
        <v>6</v>
      </c>
      <c r="J10" s="13">
        <v>600000000</v>
      </c>
      <c r="K10" s="12">
        <v>12</v>
      </c>
      <c r="L10" s="13">
        <v>530000000</v>
      </c>
      <c r="M10" s="12">
        <f>C10+E10+G10+I10+K10</f>
      </c>
      <c r="N10" s="13">
        <f>D10+F10+H10+J10+L10</f>
      </c>
    </row>
    <row r="11" ht="24" customHeight="1" spans="1:14" x14ac:dyDescent="0.25">
      <c r="A11" s="6">
        <v>6</v>
      </c>
      <c r="B11" s="7" t="s">
        <v>8</v>
      </c>
      <c r="C11" s="8">
        <v>4</v>
      </c>
      <c r="D11" s="9">
        <v>2200000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10</v>
      </c>
      <c r="L11" s="9">
        <v>12000000</v>
      </c>
      <c r="M11" s="8">
        <f>C11+E11+G11+I11+K11</f>
      </c>
      <c r="N11" s="9">
        <f>D11+F11+H11+J11+L11</f>
      </c>
    </row>
    <row r="12" ht="26" customHeight="1" spans="1:14" x14ac:dyDescent="0.25">
      <c r="A12" s="14" t="s">
        <v>17</v>
      </c>
      <c r="B12" s="14"/>
      <c r="C12" s="15">
        <f>C6+C7+C8+C9+C11</f>
      </c>
      <c r="D12" s="16">
        <f>D6+D7+D8+D9+D11</f>
      </c>
      <c r="E12" s="15">
        <f>E6+E7+E8+E9+E11</f>
      </c>
      <c r="F12" s="16">
        <f>F6+F7+F8+F9+F11</f>
      </c>
      <c r="G12" s="15">
        <f>G6+G7+G8+G9+G11</f>
      </c>
      <c r="H12" s="16">
        <f>H6+H7+H8+H9+H11</f>
      </c>
      <c r="I12" s="15">
        <f>I6+I7+I8+I9+I11</f>
      </c>
      <c r="J12" s="16">
        <f>J6+J7+J8+J9+J11</f>
      </c>
      <c r="K12" s="15">
        <f>K6+K7+K8+K9+K11</f>
      </c>
      <c r="L12" s="16">
        <f>L6+L7+L8+L9+L11</f>
      </c>
      <c r="M12" s="15">
        <f>M6+M7+M8+M9+M11</f>
      </c>
      <c r="N12" s="16">
        <f>N6+N7+N8+N9+N11</f>
      </c>
    </row>
    <row r="13" ht="26" customHeight="1" spans="1:14" x14ac:dyDescent="0.25">
      <c r="A13" s="17" t="s">
        <v>18</v>
      </c>
      <c r="B13" s="17"/>
      <c r="C13" s="18">
        <f>C10</f>
      </c>
      <c r="D13" s="19">
        <f>D10</f>
      </c>
      <c r="E13" s="18">
        <f>E10</f>
      </c>
      <c r="F13" s="19">
        <f>F10</f>
      </c>
      <c r="G13" s="18">
        <f>G10</f>
      </c>
      <c r="H13" s="19">
        <f>H10</f>
      </c>
      <c r="I13" s="18">
        <f>I10</f>
      </c>
      <c r="J13" s="19">
        <f>J10</f>
      </c>
      <c r="K13" s="18">
        <f>K10</f>
      </c>
      <c r="L13" s="19">
        <f>L10</f>
      </c>
      <c r="M13" s="18">
        <f>M10</f>
      </c>
      <c r="N13" s="19">
        <f>N10</f>
      </c>
    </row>
    <row r="14" ht="30" customHeight="1" spans="1:14" x14ac:dyDescent="0.25">
      <c r="A14" s="20" t="s">
        <v>19</v>
      </c>
      <c r="B14" s="20"/>
      <c r="C14" s="21">
        <f>C12+C13</f>
      </c>
      <c r="D14" s="22">
        <f>D12+D13</f>
      </c>
      <c r="E14" s="21">
        <f>E12+E13</f>
      </c>
      <c r="F14" s="22">
        <f>F12+F13</f>
      </c>
      <c r="G14" s="21">
        <f>G12+G13</f>
      </c>
      <c r="H14" s="22">
        <f>H12+H13</f>
      </c>
      <c r="I14" s="21">
        <f>I12+I13</f>
      </c>
      <c r="J14" s="22">
        <f>J12+J13</f>
      </c>
      <c r="K14" s="21">
        <f>K12+K13</f>
      </c>
      <c r="L14" s="22">
        <f>L12+L13</f>
      </c>
      <c r="M14" s="21">
        <f>M12+M13</f>
      </c>
      <c r="N14" s="22">
        <f>N12+N13</f>
      </c>
    </row>
    <row r="16" spans="2:14" x14ac:dyDescent="0.25"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ht="24" customHeight="1" spans="2:12" x14ac:dyDescent="0.25">
      <c r="B17" s="24" t="s">
        <v>21</v>
      </c>
      <c r="C17" s="24"/>
      <c r="D17" s="24"/>
      <c r="E17" s="25">
        <f>N12</f>
      </c>
      <c r="F17" s="25"/>
      <c r="G17" s="25"/>
      <c r="H17" s="26" t="s">
        <v>22</v>
      </c>
      <c r="I17" s="26"/>
      <c r="J17" s="26"/>
      <c r="K17" s="27">
        <f>N12/N14</f>
      </c>
      <c r="L17" s="27"/>
    </row>
    <row r="18" ht="24" customHeight="1" spans="2:12" x14ac:dyDescent="0.25">
      <c r="B18" s="28" t="s">
        <v>23</v>
      </c>
      <c r="C18" s="28"/>
      <c r="D18" s="28"/>
      <c r="E18" s="29">
        <f>N13</f>
      </c>
      <c r="F18" s="29"/>
      <c r="G18" s="29"/>
      <c r="H18" s="26" t="s">
        <v>24</v>
      </c>
      <c r="I18" s="26"/>
      <c r="J18" s="26"/>
      <c r="K18" s="30">
        <f>N13/N14</f>
      </c>
      <c r="L18" s="30"/>
    </row>
    <row r="19" ht="24" customHeight="1" spans="2:12" x14ac:dyDescent="0.25">
      <c r="B19" s="31" t="s">
        <v>25</v>
      </c>
      <c r="C19" s="31"/>
      <c r="D19" s="31"/>
      <c r="E19" s="32">
        <f>N14</f>
      </c>
      <c r="F19" s="32"/>
      <c r="G19" s="32"/>
      <c r="H19" s="26" t="s">
        <v>26</v>
      </c>
      <c r="I19" s="26"/>
      <c r="J19" s="26"/>
      <c r="K19" s="33">
        <v>1</v>
      </c>
      <c r="L19" s="33"/>
    </row>
  </sheetData>
  <mergeCells count="26">
    <mergeCell ref="A1:N1"/>
    <mergeCell ref="A2:N2"/>
    <mergeCell ref="C4:D4"/>
    <mergeCell ref="E4:F4"/>
    <mergeCell ref="G4:H4"/>
    <mergeCell ref="I4:J4"/>
    <mergeCell ref="K4:L4"/>
    <mergeCell ref="M4:N4"/>
    <mergeCell ref="A4:A5"/>
    <mergeCell ref="B4:B5"/>
    <mergeCell ref="A12:B12"/>
    <mergeCell ref="A13:B13"/>
    <mergeCell ref="A14:B14"/>
    <mergeCell ref="B16:N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 outlineLevelRow="0" outlineLevelCol="0" x14ac:dyDescent="55"/>
  <cols>
    <col min="1" max="1" width="8" customWidth="1"/>
    <col min="2" max="2" width="34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  <col min="9" max="9" width="10" customWidth="1"/>
    <col min="10" max="10" width="18" customWidth="1"/>
    <col min="11" max="11" width="10" customWidth="1"/>
    <col min="12" max="12" width="18" customWidth="1"/>
    <col min="13" max="13" width="12" customWidth="1"/>
    <col min="14" max="14" width="22" customWidth="1"/>
  </cols>
  <sheetData>
    <row r="1" ht="32" customHeight="1" spans="1:14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" customHeight="1" x14ac:dyDescent="0.25"/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</row>
    <row r="5" ht="22" customHeight="1" spans="1:14" x14ac:dyDescent="0.25">
      <c r="A5" s="3"/>
      <c r="B5" s="3"/>
      <c r="C5" s="4" t="s">
        <v>10</v>
      </c>
      <c r="D5" s="5" t="s">
        <v>11</v>
      </c>
      <c r="E5" s="4" t="s">
        <v>10</v>
      </c>
      <c r="F5" s="5" t="s">
        <v>11</v>
      </c>
      <c r="G5" s="4" t="s">
        <v>10</v>
      </c>
      <c r="H5" s="5" t="s">
        <v>11</v>
      </c>
      <c r="I5" s="4" t="s">
        <v>10</v>
      </c>
      <c r="J5" s="5" t="s">
        <v>11</v>
      </c>
      <c r="K5" s="4" t="s">
        <v>10</v>
      </c>
      <c r="L5" s="5" t="s">
        <v>11</v>
      </c>
      <c r="M5" s="4" t="s">
        <v>10</v>
      </c>
      <c r="N5" s="5" t="s">
        <v>11</v>
      </c>
    </row>
    <row r="6" ht="24" customHeight="1" spans="1:14" x14ac:dyDescent="0.25">
      <c r="A6" s="6">
        <v>1</v>
      </c>
      <c r="B6" s="7" t="s">
        <v>12</v>
      </c>
      <c r="C6" s="8">
        <v>15</v>
      </c>
      <c r="D6" s="9">
        <v>600000000</v>
      </c>
      <c r="E6" s="8">
        <v>3</v>
      </c>
      <c r="F6" s="9">
        <v>120000000</v>
      </c>
      <c r="G6" s="8">
        <v>0</v>
      </c>
      <c r="H6" s="9">
        <v>0</v>
      </c>
      <c r="I6" s="8">
        <v>1</v>
      </c>
      <c r="J6" s="9">
        <v>36919790</v>
      </c>
      <c r="K6" s="8">
        <v>1</v>
      </c>
      <c r="L6" s="9">
        <v>40000000</v>
      </c>
      <c r="M6" s="8">
        <f>C6+E6+G6+I6+K6</f>
      </c>
      <c r="N6" s="9">
        <f>D6+F6+H6+J6+L6</f>
      </c>
    </row>
    <row r="7" ht="24" customHeight="1" spans="1:14" x14ac:dyDescent="0.25">
      <c r="A7" s="6">
        <v>2</v>
      </c>
      <c r="B7" s="7" t="s">
        <v>13</v>
      </c>
      <c r="C7" s="8">
        <v>10</v>
      </c>
      <c r="D7" s="9">
        <v>35000000</v>
      </c>
      <c r="E7" s="8">
        <v>4</v>
      </c>
      <c r="F7" s="9">
        <v>13631629</v>
      </c>
      <c r="G7" s="8">
        <v>0</v>
      </c>
      <c r="H7" s="9">
        <v>0</v>
      </c>
      <c r="I7" s="8">
        <v>0</v>
      </c>
      <c r="J7" s="9">
        <v>0</v>
      </c>
      <c r="K7" s="8">
        <v>1</v>
      </c>
      <c r="L7" s="9">
        <v>3500000</v>
      </c>
      <c r="M7" s="8">
        <f>C7+E7+G7+I7+K7</f>
      </c>
      <c r="N7" s="9">
        <f>D7+F7+H7+J7+L7</f>
      </c>
    </row>
    <row r="8" ht="24" customHeight="1" spans="1:14" x14ac:dyDescent="0.25">
      <c r="A8" s="6">
        <v>3</v>
      </c>
      <c r="B8" s="7" t="s">
        <v>14</v>
      </c>
      <c r="C8" s="8">
        <v>65</v>
      </c>
      <c r="D8" s="9">
        <v>78000000</v>
      </c>
      <c r="E8" s="8">
        <v>110</v>
      </c>
      <c r="F8" s="9">
        <v>132000000</v>
      </c>
      <c r="G8" s="8">
        <v>0</v>
      </c>
      <c r="H8" s="9">
        <v>0</v>
      </c>
      <c r="I8" s="8">
        <v>0</v>
      </c>
      <c r="J8" s="9">
        <v>0</v>
      </c>
      <c r="K8" s="8">
        <v>20</v>
      </c>
      <c r="L8" s="9">
        <v>23000000</v>
      </c>
      <c r="M8" s="8">
        <f>C8+E8+G8+I8+K8</f>
      </c>
      <c r="N8" s="9">
        <f>D8+F8+H8+J8+L8</f>
      </c>
    </row>
    <row r="9" ht="24" customHeight="1" spans="1:14" x14ac:dyDescent="0.25">
      <c r="A9" s="6">
        <v>4</v>
      </c>
      <c r="B9" s="7" t="s">
        <v>15</v>
      </c>
      <c r="C9" s="8">
        <v>25</v>
      </c>
      <c r="D9" s="9">
        <v>16000000</v>
      </c>
      <c r="E9" s="8">
        <v>95</v>
      </c>
      <c r="F9" s="9">
        <v>62000000</v>
      </c>
      <c r="G9" s="8">
        <v>0</v>
      </c>
      <c r="H9" s="9">
        <v>0</v>
      </c>
      <c r="I9" s="8">
        <v>0</v>
      </c>
      <c r="J9" s="9">
        <v>0</v>
      </c>
      <c r="K9" s="8">
        <v>16</v>
      </c>
      <c r="L9" s="9">
        <v>16000000</v>
      </c>
      <c r="M9" s="8">
        <f>C9+E9+G9+I9+K9</f>
      </c>
      <c r="N9" s="9">
        <f>D9+F9+H9+J9+L9</f>
      </c>
    </row>
    <row r="10" ht="24" customHeight="1" spans="1:14" x14ac:dyDescent="0.25">
      <c r="A10" s="10">
        <v>5</v>
      </c>
      <c r="B10" s="11" t="s">
        <v>16</v>
      </c>
      <c r="C10" s="12">
        <v>7</v>
      </c>
      <c r="D10" s="13">
        <v>680000000</v>
      </c>
      <c r="E10" s="12">
        <v>3</v>
      </c>
      <c r="F10" s="13">
        <v>270000000</v>
      </c>
      <c r="G10" s="12">
        <v>1</v>
      </c>
      <c r="H10" s="13">
        <v>80000000</v>
      </c>
      <c r="I10" s="12">
        <v>1</v>
      </c>
      <c r="J10" s="13">
        <v>90000000</v>
      </c>
      <c r="K10" s="12">
        <v>2</v>
      </c>
      <c r="L10" s="13">
        <v>80000000</v>
      </c>
      <c r="M10" s="12">
        <f>C10+E10+G10+I10+K10</f>
      </c>
      <c r="N10" s="13">
        <f>D10+F10+H10+J10+L10</f>
      </c>
    </row>
    <row r="11" ht="24" customHeight="1" spans="1:14" x14ac:dyDescent="0.25">
      <c r="A11" s="6">
        <v>6</v>
      </c>
      <c r="B11" s="7" t="s">
        <v>8</v>
      </c>
      <c r="C11" s="8">
        <v>1</v>
      </c>
      <c r="D11" s="9">
        <v>407408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2</v>
      </c>
      <c r="L11" s="9">
        <v>2000000</v>
      </c>
      <c r="M11" s="8">
        <f>C11+E11+G11+I11+K11</f>
      </c>
      <c r="N11" s="9">
        <f>D11+F11+H11+J11+L11</f>
      </c>
    </row>
    <row r="12" ht="26" customHeight="1" spans="1:14" x14ac:dyDescent="0.25">
      <c r="A12" s="14" t="s">
        <v>17</v>
      </c>
      <c r="B12" s="14"/>
      <c r="C12" s="15">
        <f>C6+C7+C8+C9+C11</f>
      </c>
      <c r="D12" s="16">
        <f>D6+D7+D8+D9+D11</f>
      </c>
      <c r="E12" s="15">
        <f>E6+E7+E8+E9+E11</f>
      </c>
      <c r="F12" s="16">
        <f>F6+F7+F8+F9+F11</f>
      </c>
      <c r="G12" s="15">
        <f>G6+G7+G8+G9+G11</f>
      </c>
      <c r="H12" s="16">
        <f>H6+H7+H8+H9+H11</f>
      </c>
      <c r="I12" s="15">
        <f>I6+I7+I8+I9+I11</f>
      </c>
      <c r="J12" s="16">
        <f>J6+J7+J8+J9+J11</f>
      </c>
      <c r="K12" s="15">
        <f>K6+K7+K8+K9+K11</f>
      </c>
      <c r="L12" s="16">
        <f>L6+L7+L8+L9+L11</f>
      </c>
      <c r="M12" s="15">
        <f>M6+M7+M8+M9+M11</f>
      </c>
      <c r="N12" s="16">
        <f>N6+N7+N8+N9+N11</f>
      </c>
    </row>
    <row r="13" ht="26" customHeight="1" spans="1:14" x14ac:dyDescent="0.25">
      <c r="A13" s="17" t="s">
        <v>18</v>
      </c>
      <c r="B13" s="17"/>
      <c r="C13" s="18">
        <f>C10</f>
      </c>
      <c r="D13" s="19">
        <f>D10</f>
      </c>
      <c r="E13" s="18">
        <f>E10</f>
      </c>
      <c r="F13" s="19">
        <f>F10</f>
      </c>
      <c r="G13" s="18">
        <f>G10</f>
      </c>
      <c r="H13" s="19">
        <f>H10</f>
      </c>
      <c r="I13" s="18">
        <f>I10</f>
      </c>
      <c r="J13" s="19">
        <f>J10</f>
      </c>
      <c r="K13" s="18">
        <f>K10</f>
      </c>
      <c r="L13" s="19">
        <f>L10</f>
      </c>
      <c r="M13" s="18">
        <f>M10</f>
      </c>
      <c r="N13" s="19">
        <f>N10</f>
      </c>
    </row>
    <row r="14" ht="30" customHeight="1" spans="1:14" x14ac:dyDescent="0.25">
      <c r="A14" s="20" t="s">
        <v>19</v>
      </c>
      <c r="B14" s="20"/>
      <c r="C14" s="21">
        <f>C12+C13</f>
      </c>
      <c r="D14" s="22">
        <f>D12+D13</f>
      </c>
      <c r="E14" s="21">
        <f>E12+E13</f>
      </c>
      <c r="F14" s="22">
        <f>F12+F13</f>
      </c>
      <c r="G14" s="21">
        <f>G12+G13</f>
      </c>
      <c r="H14" s="22">
        <f>H12+H13</f>
      </c>
      <c r="I14" s="21">
        <f>I12+I13</f>
      </c>
      <c r="J14" s="22">
        <f>J12+J13</f>
      </c>
      <c r="K14" s="21">
        <f>K12+K13</f>
      </c>
      <c r="L14" s="22">
        <f>L12+L13</f>
      </c>
      <c r="M14" s="21">
        <f>M12+M13</f>
      </c>
      <c r="N14" s="22">
        <f>N12+N13</f>
      </c>
    </row>
    <row r="16" spans="2:14" x14ac:dyDescent="0.25"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ht="24" customHeight="1" spans="2:12" x14ac:dyDescent="0.25">
      <c r="B17" s="24" t="s">
        <v>21</v>
      </c>
      <c r="C17" s="24"/>
      <c r="D17" s="24"/>
      <c r="E17" s="25">
        <f>N12</f>
      </c>
      <c r="F17" s="25"/>
      <c r="G17" s="25"/>
      <c r="H17" s="26" t="s">
        <v>22</v>
      </c>
      <c r="I17" s="26"/>
      <c r="J17" s="26"/>
      <c r="K17" s="27">
        <f>N12/N14</f>
      </c>
      <c r="L17" s="27"/>
    </row>
    <row r="18" ht="24" customHeight="1" spans="2:12" x14ac:dyDescent="0.25">
      <c r="B18" s="28" t="s">
        <v>23</v>
      </c>
      <c r="C18" s="28"/>
      <c r="D18" s="28"/>
      <c r="E18" s="29">
        <f>N13</f>
      </c>
      <c r="F18" s="29"/>
      <c r="G18" s="29"/>
      <c r="H18" s="26" t="s">
        <v>24</v>
      </c>
      <c r="I18" s="26"/>
      <c r="J18" s="26"/>
      <c r="K18" s="30">
        <f>N13/N14</f>
      </c>
      <c r="L18" s="30"/>
    </row>
    <row r="19" ht="24" customHeight="1" spans="2:12" x14ac:dyDescent="0.25">
      <c r="B19" s="31" t="s">
        <v>25</v>
      </c>
      <c r="C19" s="31"/>
      <c r="D19" s="31"/>
      <c r="E19" s="32">
        <f>N14</f>
      </c>
      <c r="F19" s="32"/>
      <c r="G19" s="32"/>
      <c r="H19" s="26" t="s">
        <v>26</v>
      </c>
      <c r="I19" s="26"/>
      <c r="J19" s="26"/>
      <c r="K19" s="33">
        <v>1</v>
      </c>
      <c r="L19" s="33"/>
    </row>
  </sheetData>
  <mergeCells count="26">
    <mergeCell ref="A1:N1"/>
    <mergeCell ref="A2:N2"/>
    <mergeCell ref="C4:D4"/>
    <mergeCell ref="E4:F4"/>
    <mergeCell ref="G4:H4"/>
    <mergeCell ref="I4:J4"/>
    <mergeCell ref="K4:L4"/>
    <mergeCell ref="M4:N4"/>
    <mergeCell ref="A4:A5"/>
    <mergeCell ref="B4:B5"/>
    <mergeCell ref="A12:B12"/>
    <mergeCell ref="A13:B13"/>
    <mergeCell ref="A14:B14"/>
    <mergeCell ref="B16:N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/>
  </sheetViews>
  <sheetFormatPr defaultRowHeight="15" outlineLevelRow="0" outlineLevelCol="0" x14ac:dyDescent="55"/>
  <cols>
    <col min="1" max="1" width="8" customWidth="1"/>
    <col min="2" max="2" width="34" customWidth="1"/>
    <col min="3" max="3" width="10" customWidth="1"/>
    <col min="4" max="4" width="18" customWidth="1"/>
    <col min="5" max="5" width="10" customWidth="1"/>
    <col min="6" max="6" width="18" customWidth="1"/>
    <col min="7" max="7" width="10" customWidth="1"/>
    <col min="8" max="8" width="18" customWidth="1"/>
    <col min="9" max="9" width="10" customWidth="1"/>
    <col min="10" max="10" width="18" customWidth="1"/>
    <col min="11" max="11" width="10" customWidth="1"/>
    <col min="12" max="12" width="18" customWidth="1"/>
    <col min="13" max="13" width="12" customWidth="1"/>
    <col min="14" max="14" width="22" customWidth="1"/>
  </cols>
  <sheetData>
    <row r="1" ht="32" customHeight="1" spans="1:14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0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8" customHeight="1" x14ac:dyDescent="0.25"/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/>
      <c r="G4" s="3" t="s">
        <v>6</v>
      </c>
      <c r="H4" s="3"/>
      <c r="I4" s="3" t="s">
        <v>7</v>
      </c>
      <c r="J4" s="3"/>
      <c r="K4" s="3" t="s">
        <v>8</v>
      </c>
      <c r="L4" s="3"/>
      <c r="M4" s="3" t="s">
        <v>9</v>
      </c>
      <c r="N4" s="3"/>
    </row>
    <row r="5" ht="22" customHeight="1" spans="1:14" x14ac:dyDescent="0.25">
      <c r="A5" s="3"/>
      <c r="B5" s="3"/>
      <c r="C5" s="4" t="s">
        <v>10</v>
      </c>
      <c r="D5" s="5" t="s">
        <v>11</v>
      </c>
      <c r="E5" s="4" t="s">
        <v>10</v>
      </c>
      <c r="F5" s="5" t="s">
        <v>11</v>
      </c>
      <c r="G5" s="4" t="s">
        <v>10</v>
      </c>
      <c r="H5" s="5" t="s">
        <v>11</v>
      </c>
      <c r="I5" s="4" t="s">
        <v>10</v>
      </c>
      <c r="J5" s="5" t="s">
        <v>11</v>
      </c>
      <c r="K5" s="4" t="s">
        <v>10</v>
      </c>
      <c r="L5" s="5" t="s">
        <v>11</v>
      </c>
      <c r="M5" s="4" t="s">
        <v>10</v>
      </c>
      <c r="N5" s="5" t="s">
        <v>11</v>
      </c>
    </row>
    <row r="6" ht="24" customHeight="1" spans="1:14" x14ac:dyDescent="0.25">
      <c r="A6" s="6">
        <v>1</v>
      </c>
      <c r="B6" s="7" t="s">
        <v>12</v>
      </c>
      <c r="C6" s="8">
        <v>6</v>
      </c>
      <c r="D6" s="9">
        <v>236861538</v>
      </c>
      <c r="E6" s="8">
        <v>1</v>
      </c>
      <c r="F6" s="9">
        <v>41167947</v>
      </c>
      <c r="G6" s="8">
        <v>0</v>
      </c>
      <c r="H6" s="9">
        <v>0</v>
      </c>
      <c r="I6" s="8">
        <v>0</v>
      </c>
      <c r="J6" s="9">
        <v>0</v>
      </c>
      <c r="K6" s="8">
        <v>0</v>
      </c>
      <c r="L6" s="9">
        <v>0</v>
      </c>
      <c r="M6" s="8">
        <f>C6+E6+G6+I6+K6</f>
      </c>
      <c r="N6" s="9">
        <f>D6+F6+H6+J6+L6</f>
      </c>
    </row>
    <row r="7" ht="24" customHeight="1" spans="1:14" x14ac:dyDescent="0.25">
      <c r="A7" s="6">
        <v>2</v>
      </c>
      <c r="B7" s="7" t="s">
        <v>13</v>
      </c>
      <c r="C7" s="8">
        <v>4</v>
      </c>
      <c r="D7" s="9">
        <v>9129217</v>
      </c>
      <c r="E7" s="8">
        <v>1</v>
      </c>
      <c r="F7" s="9">
        <v>3000000</v>
      </c>
      <c r="G7" s="8">
        <v>0</v>
      </c>
      <c r="H7" s="9">
        <v>0</v>
      </c>
      <c r="I7" s="8">
        <v>0</v>
      </c>
      <c r="J7" s="9">
        <v>0</v>
      </c>
      <c r="K7" s="8">
        <v>1</v>
      </c>
      <c r="L7" s="9">
        <v>1500000</v>
      </c>
      <c r="M7" s="8">
        <f>C7+E7+G7+I7+K7</f>
      </c>
      <c r="N7" s="9">
        <f>D7+F7+H7+J7+L7</f>
      </c>
    </row>
    <row r="8" ht="24" customHeight="1" spans="1:14" x14ac:dyDescent="0.25">
      <c r="A8" s="6">
        <v>3</v>
      </c>
      <c r="B8" s="7" t="s">
        <v>14</v>
      </c>
      <c r="C8" s="8">
        <v>30</v>
      </c>
      <c r="D8" s="9">
        <v>34362872</v>
      </c>
      <c r="E8" s="8">
        <v>55</v>
      </c>
      <c r="F8" s="9">
        <v>51921782</v>
      </c>
      <c r="G8" s="8">
        <v>0</v>
      </c>
      <c r="H8" s="9">
        <v>0</v>
      </c>
      <c r="I8" s="8">
        <v>0</v>
      </c>
      <c r="J8" s="9">
        <v>0</v>
      </c>
      <c r="K8" s="8">
        <v>12</v>
      </c>
      <c r="L8" s="9">
        <v>7000000</v>
      </c>
      <c r="M8" s="8">
        <f>C8+E8+G8+I8+K8</f>
      </c>
      <c r="N8" s="9">
        <f>D8+F8+H8+J8+L8</f>
      </c>
    </row>
    <row r="9" ht="24" customHeight="1" spans="1:14" x14ac:dyDescent="0.25">
      <c r="A9" s="6">
        <v>4</v>
      </c>
      <c r="B9" s="7" t="s">
        <v>15</v>
      </c>
      <c r="C9" s="8">
        <v>11</v>
      </c>
      <c r="D9" s="9">
        <v>5875719</v>
      </c>
      <c r="E9" s="8">
        <v>50</v>
      </c>
      <c r="F9" s="9">
        <v>20798361</v>
      </c>
      <c r="G9" s="8">
        <v>0</v>
      </c>
      <c r="H9" s="9">
        <v>0</v>
      </c>
      <c r="I9" s="8">
        <v>0</v>
      </c>
      <c r="J9" s="9">
        <v>0</v>
      </c>
      <c r="K9" s="8">
        <v>10</v>
      </c>
      <c r="L9" s="9">
        <v>4000000</v>
      </c>
      <c r="M9" s="8">
        <f>C9+E9+G9+I9+K9</f>
      </c>
      <c r="N9" s="9">
        <f>D9+F9+H9+J9+L9</f>
      </c>
    </row>
    <row r="10" ht="24" customHeight="1" spans="1:14" x14ac:dyDescent="0.25">
      <c r="A10" s="10">
        <v>5</v>
      </c>
      <c r="B10" s="11" t="s">
        <v>16</v>
      </c>
      <c r="C10" s="12">
        <v>3</v>
      </c>
      <c r="D10" s="13">
        <v>620000000</v>
      </c>
      <c r="E10" s="12">
        <v>2</v>
      </c>
      <c r="F10" s="13">
        <v>240000000</v>
      </c>
      <c r="G10" s="12">
        <v>0</v>
      </c>
      <c r="H10" s="13">
        <v>0</v>
      </c>
      <c r="I10" s="12">
        <v>1</v>
      </c>
      <c r="J10" s="13">
        <v>110000000</v>
      </c>
      <c r="K10" s="12">
        <v>4</v>
      </c>
      <c r="L10" s="13">
        <v>130000000</v>
      </c>
      <c r="M10" s="12">
        <f>C10+E10+G10+I10+K10</f>
      </c>
      <c r="N10" s="13">
        <f>D10+F10+H10+J10+L10</f>
      </c>
    </row>
    <row r="11" ht="24" customHeight="1" spans="1:14" x14ac:dyDescent="0.25">
      <c r="A11" s="6">
        <v>6</v>
      </c>
      <c r="B11" s="7" t="s">
        <v>8</v>
      </c>
      <c r="C11" s="8">
        <v>0</v>
      </c>
      <c r="D11" s="9">
        <v>0</v>
      </c>
      <c r="E11" s="8">
        <v>0</v>
      </c>
      <c r="F11" s="9">
        <v>0</v>
      </c>
      <c r="G11" s="8">
        <v>0</v>
      </c>
      <c r="H11" s="9">
        <v>0</v>
      </c>
      <c r="I11" s="8">
        <v>0</v>
      </c>
      <c r="J11" s="9">
        <v>0</v>
      </c>
      <c r="K11" s="8">
        <v>1</v>
      </c>
      <c r="L11" s="9">
        <v>500000</v>
      </c>
      <c r="M11" s="8">
        <f>C11+E11+G11+I11+K11</f>
      </c>
      <c r="N11" s="9">
        <f>D11+F11+H11+J11+L11</f>
      </c>
    </row>
    <row r="12" ht="26" customHeight="1" spans="1:14" x14ac:dyDescent="0.25">
      <c r="A12" s="14" t="s">
        <v>17</v>
      </c>
      <c r="B12" s="14"/>
      <c r="C12" s="15">
        <f>C6+C7+C8+C9+C11</f>
      </c>
      <c r="D12" s="16">
        <f>D6+D7+D8+D9+D11</f>
      </c>
      <c r="E12" s="15">
        <f>E6+E7+E8+E9+E11</f>
      </c>
      <c r="F12" s="16">
        <f>F6+F7+F8+F9+F11</f>
      </c>
      <c r="G12" s="15">
        <f>G6+G7+G8+G9+G11</f>
      </c>
      <c r="H12" s="16">
        <f>H6+H7+H8+H9+H11</f>
      </c>
      <c r="I12" s="15">
        <f>I6+I7+I8+I9+I11</f>
      </c>
      <c r="J12" s="16">
        <f>J6+J7+J8+J9+J11</f>
      </c>
      <c r="K12" s="15">
        <f>K6+K7+K8+K9+K11</f>
      </c>
      <c r="L12" s="16">
        <f>L6+L7+L8+L9+L11</f>
      </c>
      <c r="M12" s="15">
        <f>M6+M7+M8+M9+M11</f>
      </c>
      <c r="N12" s="16">
        <f>N6+N7+N8+N9+N11</f>
      </c>
    </row>
    <row r="13" ht="26" customHeight="1" spans="1:14" x14ac:dyDescent="0.25">
      <c r="A13" s="17" t="s">
        <v>18</v>
      </c>
      <c r="B13" s="17"/>
      <c r="C13" s="18">
        <f>C10</f>
      </c>
      <c r="D13" s="19">
        <f>D10</f>
      </c>
      <c r="E13" s="18">
        <f>E10</f>
      </c>
      <c r="F13" s="19">
        <f>F10</f>
      </c>
      <c r="G13" s="18">
        <f>G10</f>
      </c>
      <c r="H13" s="19">
        <f>H10</f>
      </c>
      <c r="I13" s="18">
        <f>I10</f>
      </c>
      <c r="J13" s="19">
        <f>J10</f>
      </c>
      <c r="K13" s="18">
        <f>K10</f>
      </c>
      <c r="L13" s="19">
        <f>L10</f>
      </c>
      <c r="M13" s="18">
        <f>M10</f>
      </c>
      <c r="N13" s="19">
        <f>N10</f>
      </c>
    </row>
    <row r="14" ht="30" customHeight="1" spans="1:14" x14ac:dyDescent="0.25">
      <c r="A14" s="20" t="s">
        <v>19</v>
      </c>
      <c r="B14" s="20"/>
      <c r="C14" s="21">
        <f>C12+C13</f>
      </c>
      <c r="D14" s="22">
        <f>D12+D13</f>
      </c>
      <c r="E14" s="21">
        <f>E12+E13</f>
      </c>
      <c r="F14" s="22">
        <f>F12+F13</f>
      </c>
      <c r="G14" s="21">
        <f>G12+G13</f>
      </c>
      <c r="H14" s="22">
        <f>H12+H13</f>
      </c>
      <c r="I14" s="21">
        <f>I12+I13</f>
      </c>
      <c r="J14" s="22">
        <f>J12+J13</f>
      </c>
      <c r="K14" s="21">
        <f>K12+K13</f>
      </c>
      <c r="L14" s="22">
        <f>L12+L13</f>
      </c>
      <c r="M14" s="21">
        <f>M12+M13</f>
      </c>
      <c r="N14" s="22">
        <f>N12+N13</f>
      </c>
    </row>
    <row r="16" spans="2:14" x14ac:dyDescent="0.25">
      <c r="B16" s="23" t="s">
        <v>20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</row>
    <row r="17" ht="24" customHeight="1" spans="2:12" x14ac:dyDescent="0.25">
      <c r="B17" s="24" t="s">
        <v>21</v>
      </c>
      <c r="C17" s="24"/>
      <c r="D17" s="24"/>
      <c r="E17" s="25">
        <f>N12</f>
      </c>
      <c r="F17" s="25"/>
      <c r="G17" s="25"/>
      <c r="H17" s="26" t="s">
        <v>22</v>
      </c>
      <c r="I17" s="26"/>
      <c r="J17" s="26"/>
      <c r="K17" s="27">
        <f>N12/N14</f>
      </c>
      <c r="L17" s="27"/>
    </row>
    <row r="18" ht="24" customHeight="1" spans="2:12" x14ac:dyDescent="0.25">
      <c r="B18" s="28" t="s">
        <v>23</v>
      </c>
      <c r="C18" s="28"/>
      <c r="D18" s="28"/>
      <c r="E18" s="29">
        <f>N13</f>
      </c>
      <c r="F18" s="29"/>
      <c r="G18" s="29"/>
      <c r="H18" s="26" t="s">
        <v>24</v>
      </c>
      <c r="I18" s="26"/>
      <c r="J18" s="26"/>
      <c r="K18" s="30">
        <f>N13/N14</f>
      </c>
      <c r="L18" s="30"/>
    </row>
    <row r="19" ht="24" customHeight="1" spans="2:12" x14ac:dyDescent="0.25">
      <c r="B19" s="31" t="s">
        <v>25</v>
      </c>
      <c r="C19" s="31"/>
      <c r="D19" s="31"/>
      <c r="E19" s="32">
        <f>N14</f>
      </c>
      <c r="F19" s="32"/>
      <c r="G19" s="32"/>
      <c r="H19" s="26" t="s">
        <v>26</v>
      </c>
      <c r="I19" s="26"/>
      <c r="J19" s="26"/>
      <c r="K19" s="33">
        <v>1</v>
      </c>
      <c r="L19" s="33"/>
    </row>
  </sheetData>
  <mergeCells count="26">
    <mergeCell ref="A1:N1"/>
    <mergeCell ref="A2:N2"/>
    <mergeCell ref="C4:D4"/>
    <mergeCell ref="E4:F4"/>
    <mergeCell ref="G4:H4"/>
    <mergeCell ref="I4:J4"/>
    <mergeCell ref="K4:L4"/>
    <mergeCell ref="M4:N4"/>
    <mergeCell ref="A4:A5"/>
    <mergeCell ref="B4:B5"/>
    <mergeCell ref="A12:B12"/>
    <mergeCell ref="A13:B13"/>
    <mergeCell ref="A14:B14"/>
    <mergeCell ref="B16:N16"/>
    <mergeCell ref="B17:D17"/>
    <mergeCell ref="E17:G17"/>
    <mergeCell ref="H17:J17"/>
    <mergeCell ref="K17:L17"/>
    <mergeCell ref="B18:D18"/>
    <mergeCell ref="E18:G18"/>
    <mergeCell ref="H18:J18"/>
    <mergeCell ref="K18:L18"/>
    <mergeCell ref="B19:D19"/>
    <mergeCell ref="E19:G19"/>
    <mergeCell ref="H19:J19"/>
    <mergeCell ref="K19:L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60" customWidth="1"/>
    <col min="4" max="4" width="35" customWidth="1"/>
  </cols>
  <sheetData>
    <row r="1" ht="32" customHeight="1" spans="1:4" x14ac:dyDescent="0.25">
      <c r="A1" s="1" t="s">
        <v>32</v>
      </c>
      <c r="B1" s="1"/>
      <c r="C1" s="1"/>
      <c r="D1" s="1"/>
    </row>
    <row r="3" ht="26" customHeight="1" spans="1:4" x14ac:dyDescent="0.25">
      <c r="A3" s="34" t="s">
        <v>33</v>
      </c>
      <c r="B3" s="34" t="s">
        <v>34</v>
      </c>
      <c r="C3" s="34" t="s">
        <v>35</v>
      </c>
      <c r="D3" s="34" t="s">
        <v>36</v>
      </c>
    </row>
    <row r="4" ht="26" customHeight="1" spans="1:4" x14ac:dyDescent="0.25">
      <c r="A4" s="35" t="s">
        <v>37</v>
      </c>
      <c r="B4" s="36" t="s">
        <v>38</v>
      </c>
      <c r="C4" s="36" t="s">
        <v>39</v>
      </c>
      <c r="D4" s="36" t="s">
        <v>40</v>
      </c>
    </row>
    <row r="5" ht="26" customHeight="1" spans="1:4" x14ac:dyDescent="0.25">
      <c r="A5" s="35" t="s">
        <v>41</v>
      </c>
      <c r="B5" s="36" t="s">
        <v>42</v>
      </c>
      <c r="C5" s="36" t="s">
        <v>43</v>
      </c>
      <c r="D5" s="36" t="s">
        <v>40</v>
      </c>
    </row>
    <row r="6" ht="26" customHeight="1" spans="1:4" x14ac:dyDescent="0.25">
      <c r="A6" s="35" t="s">
        <v>44</v>
      </c>
      <c r="B6" s="36" t="s">
        <v>45</v>
      </c>
      <c r="C6" s="36" t="s">
        <v>46</v>
      </c>
      <c r="D6" s="36" t="s">
        <v>40</v>
      </c>
    </row>
    <row r="7" ht="26" customHeight="1" spans="1:4" x14ac:dyDescent="0.25">
      <c r="A7" s="35" t="s">
        <v>47</v>
      </c>
      <c r="B7" s="36" t="s">
        <v>48</v>
      </c>
      <c r="C7" s="36" t="s">
        <v>49</v>
      </c>
      <c r="D7" s="36" t="s">
        <v>40</v>
      </c>
    </row>
    <row r="8" ht="26" customHeight="1" spans="1:4" x14ac:dyDescent="0.25">
      <c r="A8" s="37" t="s">
        <v>50</v>
      </c>
      <c r="B8" s="38" t="s">
        <v>51</v>
      </c>
      <c r="C8" s="38" t="s">
        <v>52</v>
      </c>
      <c r="D8" s="38" t="s">
        <v>53</v>
      </c>
    </row>
    <row r="9" ht="26" customHeight="1" spans="1:4" x14ac:dyDescent="0.25">
      <c r="A9" s="35" t="s">
        <v>54</v>
      </c>
      <c r="B9" s="36" t="s">
        <v>55</v>
      </c>
      <c r="C9" s="36" t="s">
        <v>56</v>
      </c>
      <c r="D9" s="36" t="s">
        <v>40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 TẬP ĐOÀN</vt:lpstr>
      <vt:lpstr>1. CTY TÂN HỒNG HÀ</vt:lpstr>
      <vt:lpstr>2. CTY VIỆT</vt:lpstr>
      <vt:lpstr>3. CTY XEM SƠN</vt:lpstr>
      <vt:lpstr>4. VPS MIỀN TRUNG</vt:lpstr>
      <vt:lpstr>5. VP TỔNG CÔNG TY</vt:lpstr>
      <vt:lpstr>QUY_DINH_HUONG_DAN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TẬP ĐOÀN VPS - BAN TÀI CHÍNH KẾ HOẠCH</dc:creator>
  <dc:title/>
  <dc:subject/>
  <dc:description/>
  <cp:keywords/>
  <cp:category/>
  <cp:lastModifiedBy>VPS Dashboard System</cp:lastModifiedBy>
  <dcterms:created xsi:type="dcterms:W3CDTF">2026-10-01T08:15:30Z</dcterms:created>
  <dcterms:modified xsi:type="dcterms:W3CDTF">2026-10-01T08:15:30Z</dcterms:modified>
</cp:coreProperties>
</file>