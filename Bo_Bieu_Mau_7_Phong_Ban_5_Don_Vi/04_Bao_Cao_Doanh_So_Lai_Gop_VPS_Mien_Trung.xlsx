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Bao_Cao_Thang" sheetId="2" state="visible" r:id="rId2"/>
    <sheet xmlns:r="http://schemas.openxmlformats.org/officeDocument/2006/relationships" name="12_Thang_Chi_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1E293B"/>
      <sz val="11"/>
    </font>
    <font>
      <name val="Calibri"/>
      <i val="1"/>
      <color rgb="0064748B"/>
      <sz val="9"/>
    </font>
    <font>
      <name val="Calibri"/>
      <b val="1"/>
      <color rgb="000F172A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3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4" borderId="2" pivotButton="0" quotePrefix="0" xfId="0"/>
    <xf numFmtId="0" fontId="7" fillId="4" borderId="2" applyAlignment="1" pivotButton="0" quotePrefix="0" xfId="0">
      <alignment horizontal="left" vertical="center"/>
    </xf>
    <xf numFmtId="3" fontId="7" fillId="4" borderId="2" applyAlignment="1" pivotButton="0" quotePrefix="0" xfId="0">
      <alignment horizontal="right" vertical="center"/>
    </xf>
    <xf numFmtId="164" fontId="7" fillId="4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TẬP ĐOÀN VPS - QUY ĐỊNH VÀ HƯỚNG DẪN NHẬP LIỆU BÁO CÁO 7 PHÒNG BAN</t>
        </is>
      </c>
    </row>
    <row r="2">
      <c r="A2" s="2" t="inlineStr">
        <is>
          <t>Đơn vị áp dụng: CHI NHÁNH VPS MIỀN TRUNG (VPSM)</t>
        </is>
      </c>
    </row>
    <row r="3">
      <c r="A3" s="3" t="inlineStr"/>
    </row>
    <row r="4">
      <c r="A4" s="2" t="inlineStr">
        <is>
          <t>1. ĐƠN VỊ TÍNH:</t>
        </is>
      </c>
    </row>
    <row r="5">
      <c r="A5" s="4" t="inlineStr">
        <is>
          <t xml:space="preserve">   - Báo cáo sử dụng đơn vị tính: Triệu VNĐ (Ví dụ: 1 tỷ 250 triệu VNĐ -&gt; Nhập số: 1250).</t>
        </is>
      </c>
    </row>
    <row r="6">
      <c r="A6" s="4" t="inlineStr">
        <is>
          <t xml:space="preserve">   - Không gõ thêm ký tự chữ 'đ', 'tr', 'vnd' vào ô số liệu để đảm bảo công thức tính toán chuẩn xác.</t>
        </is>
      </c>
    </row>
    <row r="7">
      <c r="A7" s="3" t="inlineStr"/>
    </row>
    <row r="8">
      <c r="A8" s="2" t="inlineStr">
        <is>
          <t>2. NGUYÊN TẮC NHẬP LIỆU:</t>
        </is>
      </c>
    </row>
    <row r="9">
      <c r="A9" s="4" t="inlineStr">
        <is>
          <t xml:space="preserve">   - Tab 'Bao_Cao_Thang':</t>
        </is>
      </c>
    </row>
    <row r="10">
      <c r="A10" s="4" t="inlineStr">
        <is>
          <t xml:space="preserve">     + Các ô màu xám (Dòng tên phòng ban) và màu vàng (Dòng TỔNG CỘNG) ĐÃ CÀI SẴN CÔNG THỨC TỰ ĐỘNG.</t>
        </is>
      </c>
    </row>
    <row r="11">
      <c r="A11" s="4" t="inlineStr">
        <is>
          <t xml:space="preserve">     + Đơn vị chỉ nhập số liệu vào CỘT THỰC TẾ (DS TH Tháng, LG TH Tháng) của các DÒNG MẢNG CON (Thụt đầu dòng).</t>
        </is>
      </c>
    </row>
    <row r="12">
      <c r="A12" s="4" t="inlineStr">
        <is>
          <t xml:space="preserve">     + Các cột % Đạt kế hoạch, % Tỷ lệ lãi gộp sẽ TỰ ĐỘNG NHẢY CÔNG THỨC.</t>
        </is>
      </c>
    </row>
    <row r="13">
      <c r="A13" s="4" t="inlineStr">
        <is>
          <t xml:space="preserve">   - Nếu đơn vị phát sinh mảng kinh doanh mới:</t>
        </is>
      </c>
    </row>
    <row r="14">
      <c r="A14" s="4" t="inlineStr">
        <is>
          <t xml:space="preserve">     + Chèn thêm dòng bên dưới nhóm phòng ban tương ứng và nhập tên mảng.</t>
        </is>
      </c>
    </row>
    <row r="15">
      <c r="A15" s="3" t="inlineStr"/>
    </row>
    <row r="16">
      <c r="A16" s="2" t="inlineStr">
        <is>
          <t>3. ĐỒNG BỘ LÊN HỆ THỐNG DASHBOARD VPS:</t>
        </is>
      </c>
    </row>
    <row r="17">
      <c r="A17" s="4" t="inlineStr">
        <is>
          <t xml:space="preserve">   - Tải file này lên Google Drive của đơn vị.</t>
        </is>
      </c>
    </row>
    <row r="18">
      <c r="A18" s="4" t="inlineStr">
        <is>
          <t xml:space="preserve">   - Mở bằng Google Trang Tính (Google Sheets).</t>
        </is>
      </c>
    </row>
    <row r="19">
      <c r="A19" s="4" t="inlineStr">
        <is>
          <t xml:space="preserve">   - Cài đặt Chia sẻ: 'Bất kỳ ai có liên kết đều có thể xem' (Anyone with link can view).</t>
        </is>
      </c>
    </row>
    <row r="20">
      <c r="A20" s="4" t="inlineStr">
        <is>
          <t xml:space="preserve">   - Copy mã Sheet ID gửi Quản trị hệ thống để tích hợp trực tiếp lên Dashboard điều hành Tập đoàn.</t>
        </is>
      </c>
    </row>
    <row r="21">
      <c r="A21" s="3" t="inlineStr"/>
    </row>
    <row r="22">
      <c r="A22" s="3" t="inlineStr">
        <is>
          <t>Bộ phận Kỹ thuật &amp; Quản trị Hệ thống Dashboard - Tập đoàn VPS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4" customWidth="1" min="16" max="16"/>
    <col width="30" customWidth="1" min="17" max="17"/>
  </cols>
  <sheetData>
    <row r="1">
      <c r="A1" s="1" t="inlineStr">
        <is>
          <t>BÁO CÁO DOANH SỐ VÀ LÃI GỘP 7 PHÒNG BAN - TẬP ĐOÀN VPS</t>
        </is>
      </c>
    </row>
    <row r="2">
      <c r="A2" s="3" t="inlineStr">
        <is>
          <t>Đơn vị: CHI NHÁNH VPS MIỀN TRUNG (VPSM)  -  Kỳ báo cáo: Tháng 8/2026</t>
        </is>
      </c>
    </row>
    <row r="3">
      <c r="A3" s="3" t="inlineStr">
        <is>
          <t>Đơn vị tính: Triệu VNĐ  |  Quy tắc: Nhập số liệu vào các dòng mảng con, dòng tổng phòng ban tự động tính</t>
        </is>
      </c>
    </row>
    <row r="5" ht="28" customHeight="1">
      <c r="A5" s="5" t="inlineStr">
        <is>
          <t>STT</t>
        </is>
      </c>
      <c r="B5" s="5" t="inlineStr">
        <is>
          <t>PHÒNG BAN / MẢNG KINH DOANH</t>
        </is>
      </c>
      <c r="C5" s="5" t="inlineStr">
        <is>
          <t>DS KH THÁNG</t>
        </is>
      </c>
      <c r="D5" s="5" t="inlineStr">
        <is>
          <t>DS TH THÁNG</t>
        </is>
      </c>
      <c r="E5" s="5" t="inlineStr">
        <is>
          <t>% ĐẠT DS THÁNG</t>
        </is>
      </c>
      <c r="F5" s="5" t="inlineStr">
        <is>
          <t>LG KH THÁNG</t>
        </is>
      </c>
      <c r="G5" s="5" t="inlineStr">
        <is>
          <t>LG TH THÁNG</t>
        </is>
      </c>
      <c r="H5" s="5" t="inlineStr">
        <is>
          <t>% ĐẠT LG THÁNG</t>
        </is>
      </c>
      <c r="I5" s="5" t="inlineStr">
        <is>
          <t>% LG THÁNG</t>
        </is>
      </c>
      <c r="J5" s="5" t="inlineStr">
        <is>
          <t>DS KH NĂM</t>
        </is>
      </c>
      <c r="K5" s="5" t="inlineStr">
        <is>
          <t>DS TH NĂM (LK)</t>
        </is>
      </c>
      <c r="L5" s="5" t="inlineStr">
        <is>
          <t>% ĐẠT DS NĂM</t>
        </is>
      </c>
      <c r="M5" s="5" t="inlineStr">
        <is>
          <t>LG KH NĂM</t>
        </is>
      </c>
      <c r="N5" s="5" t="inlineStr">
        <is>
          <t>LG TH NĂM (LK)</t>
        </is>
      </c>
      <c r="O5" s="5" t="inlineStr">
        <is>
          <t>% ĐẠT LG NĂM</t>
        </is>
      </c>
      <c r="P5" s="5" t="inlineStr">
        <is>
          <t>% LG NĂM</t>
        </is>
      </c>
      <c r="Q5" s="5" t="inlineStr">
        <is>
          <t>GHI CHÚ / GIẢI TRÌNH</t>
        </is>
      </c>
    </row>
    <row r="6" ht="24" customHeight="1">
      <c r="A6" s="6" t="n">
        <v>1</v>
      </c>
      <c r="B6" s="7" t="inlineStr">
        <is>
          <t>Kinh doanh phân phối</t>
        </is>
      </c>
      <c r="C6" s="8">
        <f>SUM(C7:C8)</f>
        <v/>
      </c>
      <c r="D6" s="8">
        <f>SUM(D7:D8)</f>
        <v/>
      </c>
      <c r="E6" s="9">
        <f>IF(C6=0, "-", D6/C6)</f>
        <v/>
      </c>
      <c r="F6" s="8">
        <f>SUM(F7:F8)</f>
        <v/>
      </c>
      <c r="G6" s="8">
        <f>SUM(G7:G8)</f>
        <v/>
      </c>
      <c r="H6" s="9">
        <f>IF(F6=0, "-", G6/F6)</f>
        <v/>
      </c>
      <c r="I6" s="9">
        <f>IF(D6=0, "-", G6/D6)</f>
        <v/>
      </c>
      <c r="J6" s="8">
        <f>SUM(J7:J8)</f>
        <v/>
      </c>
      <c r="K6" s="8">
        <f>SUM(K7:K8)</f>
        <v/>
      </c>
      <c r="L6" s="9">
        <f>IF(J6=0, "-", K6/J6)</f>
        <v/>
      </c>
      <c r="M6" s="8">
        <f>SUM(M7:M8)</f>
        <v/>
      </c>
      <c r="N6" s="8">
        <f>SUM(N7:N8)</f>
        <v/>
      </c>
      <c r="O6" s="9">
        <f>IF(M6=0, "-", N6/M6)</f>
        <v/>
      </c>
      <c r="P6" s="9">
        <f>IF(K6=0, "-", N6/K6)</f>
        <v/>
      </c>
      <c r="Q6" s="10" t="inlineStr"/>
    </row>
    <row r="7" ht="20" customHeight="1">
      <c r="A7" s="11" t="inlineStr"/>
      <c r="B7" s="12" t="inlineStr">
        <is>
          <t xml:space="preserve">  - [VPSM] Kinh doanh máy - bán buôn</t>
        </is>
      </c>
      <c r="C7" s="13" t="n">
        <v>833</v>
      </c>
      <c r="D7" s="13" t="n">
        <v>810</v>
      </c>
      <c r="E7" s="14">
        <f>IF(C7=0, "-", D7/C7)</f>
        <v/>
      </c>
      <c r="F7" s="13" t="n">
        <v>75</v>
      </c>
      <c r="G7" s="13" t="n">
        <v>45</v>
      </c>
      <c r="H7" s="14">
        <f>IF(F7=0, "-", G7/F7)</f>
        <v/>
      </c>
      <c r="I7" s="14">
        <f>IF(D7=0, "-", G7/D7)</f>
        <v/>
      </c>
      <c r="J7" s="13" t="n">
        <v>10000</v>
      </c>
      <c r="K7" s="13" t="n">
        <v>6667</v>
      </c>
      <c r="L7" s="14">
        <f>IF(J7=0, "-", K7/J7)</f>
        <v/>
      </c>
      <c r="M7" s="13" t="n">
        <v>900</v>
      </c>
      <c r="N7" s="13" t="n">
        <v>600</v>
      </c>
      <c r="O7" s="14">
        <f>IF(M7=0, "-", N7/M7)</f>
        <v/>
      </c>
      <c r="P7" s="14">
        <f>IF(K7=0, "-", N7/K7)</f>
        <v/>
      </c>
      <c r="Q7" s="11" t="inlineStr">
        <is>
          <t>Bán buôn máy VPS Miền Trung</t>
        </is>
      </c>
    </row>
    <row r="8" ht="20" customHeight="1">
      <c r="A8" s="11" t="inlineStr"/>
      <c r="B8" s="12" t="inlineStr">
        <is>
          <t xml:space="preserve">  - [VPSM] Kinh doanh linh kiện - bán buôn</t>
        </is>
      </c>
      <c r="C8" s="13" t="n">
        <v>292</v>
      </c>
      <c r="D8" s="13" t="n">
        <v>240</v>
      </c>
      <c r="E8" s="14">
        <f>IF(C8=0, "-", D8/C8)</f>
        <v/>
      </c>
      <c r="F8" s="13" t="n">
        <v>38</v>
      </c>
      <c r="G8" s="13" t="n">
        <v>22</v>
      </c>
      <c r="H8" s="14">
        <f>IF(F8=0, "-", G8/F8)</f>
        <v/>
      </c>
      <c r="I8" s="14">
        <f>IF(D8=0, "-", G8/D8)</f>
        <v/>
      </c>
      <c r="J8" s="13" t="n">
        <v>3500</v>
      </c>
      <c r="K8" s="13" t="n">
        <v>2333</v>
      </c>
      <c r="L8" s="14">
        <f>IF(J8=0, "-", K8/J8)</f>
        <v/>
      </c>
      <c r="M8" s="13" t="n">
        <v>450</v>
      </c>
      <c r="N8" s="13" t="n">
        <v>300</v>
      </c>
      <c r="O8" s="14">
        <f>IF(M8=0, "-", N8/M8)</f>
        <v/>
      </c>
      <c r="P8" s="14">
        <f>IF(K8=0, "-", N8/K8)</f>
        <v/>
      </c>
      <c r="Q8" s="11" t="inlineStr">
        <is>
          <t>Bán buôn linh kiện mực in</t>
        </is>
      </c>
    </row>
    <row r="9" ht="24" customHeight="1">
      <c r="A9" s="6" t="n">
        <v>2</v>
      </c>
      <c r="B9" s="7" t="inlineStr">
        <is>
          <t>Thuê Máy</t>
        </is>
      </c>
      <c r="C9" s="8">
        <f>SUM(C10:C10)</f>
        <v/>
      </c>
      <c r="D9" s="8">
        <f>SUM(D10:D10)</f>
        <v/>
      </c>
      <c r="E9" s="9">
        <f>IF(C9=0, "-", D9/C9)</f>
        <v/>
      </c>
      <c r="F9" s="8">
        <f>SUM(F10:F10)</f>
        <v/>
      </c>
      <c r="G9" s="8">
        <f>SUM(G10:G10)</f>
        <v/>
      </c>
      <c r="H9" s="9">
        <f>IF(F9=0, "-", G9/F9)</f>
        <v/>
      </c>
      <c r="I9" s="9">
        <f>IF(D9=0, "-", G9/D9)</f>
        <v/>
      </c>
      <c r="J9" s="8">
        <f>SUM(J10:J10)</f>
        <v/>
      </c>
      <c r="K9" s="8">
        <f>SUM(K10:K10)</f>
        <v/>
      </c>
      <c r="L9" s="9">
        <f>IF(J9=0, "-", K9/J9)</f>
        <v/>
      </c>
      <c r="M9" s="8">
        <f>SUM(M10:M10)</f>
        <v/>
      </c>
      <c r="N9" s="8">
        <f>SUM(N10:N10)</f>
        <v/>
      </c>
      <c r="O9" s="9">
        <f>IF(M9=0, "-", N9/M9)</f>
        <v/>
      </c>
      <c r="P9" s="9">
        <f>IF(K9=0, "-", N9/K9)</f>
        <v/>
      </c>
      <c r="Q9" s="10" t="inlineStr"/>
    </row>
    <row r="10" ht="20" customHeight="1">
      <c r="A10" s="11" t="inlineStr"/>
      <c r="B10" s="12" t="inlineStr">
        <is>
          <t xml:space="preserve">  - [VPSM] Thuê máy Miền Trung</t>
        </is>
      </c>
      <c r="C10" s="13" t="n">
        <v>100</v>
      </c>
      <c r="D10" s="13" t="n">
        <v>80</v>
      </c>
      <c r="E10" s="14">
        <f>IF(C10=0, "-", D10/C10)</f>
        <v/>
      </c>
      <c r="F10" s="13" t="n">
        <v>65</v>
      </c>
      <c r="G10" s="13" t="n">
        <v>20</v>
      </c>
      <c r="H10" s="14">
        <f>IF(F10=0, "-", G10/F10)</f>
        <v/>
      </c>
      <c r="I10" s="14">
        <f>IF(D10=0, "-", G10/D10)</f>
        <v/>
      </c>
      <c r="J10" s="13" t="n">
        <v>1200</v>
      </c>
      <c r="K10" s="13" t="n">
        <v>800</v>
      </c>
      <c r="L10" s="14">
        <f>IF(J10=0, "-", K10/J10)</f>
        <v/>
      </c>
      <c r="M10" s="13" t="n">
        <v>780</v>
      </c>
      <c r="N10" s="13" t="n">
        <v>520</v>
      </c>
      <c r="O10" s="14">
        <f>IF(M10=0, "-", N10/M10)</f>
        <v/>
      </c>
      <c r="P10" s="14">
        <f>IF(K10=0, "-", N10/K10)</f>
        <v/>
      </c>
      <c r="Q10" s="11" t="inlineStr">
        <is>
          <t>Thuê máy khu vực miền Trung</t>
        </is>
      </c>
    </row>
    <row r="11" ht="24" customHeight="1">
      <c r="A11" s="6" t="n">
        <v>3</v>
      </c>
      <c r="B11" s="7" t="inlineStr">
        <is>
          <t>Dịch Vụ</t>
        </is>
      </c>
      <c r="C11" s="8">
        <f>SUM(C12:C13)</f>
        <v/>
      </c>
      <c r="D11" s="8">
        <f>SUM(D12:D13)</f>
        <v/>
      </c>
      <c r="E11" s="9">
        <f>IF(C11=0, "-", D11/C11)</f>
        <v/>
      </c>
      <c r="F11" s="8">
        <f>SUM(F12:F13)</f>
        <v/>
      </c>
      <c r="G11" s="8">
        <f>SUM(G12:G13)</f>
        <v/>
      </c>
      <c r="H11" s="9">
        <f>IF(F11=0, "-", G11/F11)</f>
        <v/>
      </c>
      <c r="I11" s="9">
        <f>IF(D11=0, "-", G11/D11)</f>
        <v/>
      </c>
      <c r="J11" s="8">
        <f>SUM(J12:J13)</f>
        <v/>
      </c>
      <c r="K11" s="8">
        <f>SUM(K12:K13)</f>
        <v/>
      </c>
      <c r="L11" s="9">
        <f>IF(J11=0, "-", K11/J11)</f>
        <v/>
      </c>
      <c r="M11" s="8">
        <f>SUM(M12:M13)</f>
        <v/>
      </c>
      <c r="N11" s="8">
        <f>SUM(N12:N13)</f>
        <v/>
      </c>
      <c r="O11" s="9">
        <f>IF(M11=0, "-", N11/M11)</f>
        <v/>
      </c>
      <c r="P11" s="9">
        <f>IF(K11=0, "-", N11/K11)</f>
        <v/>
      </c>
      <c r="Q11" s="10" t="inlineStr"/>
    </row>
    <row r="12" ht="20" customHeight="1">
      <c r="A12" s="11" t="inlineStr"/>
      <c r="B12" s="12" t="inlineStr">
        <is>
          <t xml:space="preserve">  - [VPSM] Dịch vụ kỹ thuật VPSM</t>
        </is>
      </c>
      <c r="C12" s="13" t="n">
        <v>225</v>
      </c>
      <c r="D12" s="13" t="n">
        <v>220</v>
      </c>
      <c r="E12" s="14">
        <f>IF(C12=0, "-", D12/C12)</f>
        <v/>
      </c>
      <c r="F12" s="13" t="n">
        <v>112</v>
      </c>
      <c r="G12" s="13" t="n">
        <v>95</v>
      </c>
      <c r="H12" s="14">
        <f>IF(F12=0, "-", G12/F12)</f>
        <v/>
      </c>
      <c r="I12" s="14">
        <f>IF(D12=0, "-", G12/D12)</f>
        <v/>
      </c>
      <c r="J12" s="13" t="n">
        <v>2700</v>
      </c>
      <c r="K12" s="13" t="n">
        <v>1800</v>
      </c>
      <c r="L12" s="14">
        <f>IF(J12=0, "-", K12/J12)</f>
        <v/>
      </c>
      <c r="M12" s="13" t="n">
        <v>1350</v>
      </c>
      <c r="N12" s="13" t="n">
        <v>900</v>
      </c>
      <c r="O12" s="14">
        <f>IF(M12=0, "-", N12/M12)</f>
        <v/>
      </c>
      <c r="P12" s="14">
        <f>IF(K12=0, "-", N12/K12)</f>
        <v/>
      </c>
      <c r="Q12" s="11" t="inlineStr">
        <is>
          <t>Bảo trì sửa chữa máy</t>
        </is>
      </c>
    </row>
    <row r="13" ht="20" customHeight="1">
      <c r="A13" s="11" t="inlineStr"/>
      <c r="B13" s="12" t="inlineStr">
        <is>
          <t xml:space="preserve">  - [VPSM] Dịch vụ toàn phần VPSM</t>
        </is>
      </c>
      <c r="C13" s="13" t="n">
        <v>67</v>
      </c>
      <c r="D13" s="13" t="n">
        <v>60</v>
      </c>
      <c r="E13" s="14">
        <f>IF(C13=0, "-", D13/C13)</f>
        <v/>
      </c>
      <c r="F13" s="13" t="n">
        <v>39</v>
      </c>
      <c r="G13" s="13" t="n">
        <v>35</v>
      </c>
      <c r="H13" s="14">
        <f>IF(F13=0, "-", G13/F13)</f>
        <v/>
      </c>
      <c r="I13" s="14">
        <f>IF(D13=0, "-", G13/D13)</f>
        <v/>
      </c>
      <c r="J13" s="13" t="n">
        <v>800</v>
      </c>
      <c r="K13" s="13" t="n">
        <v>533</v>
      </c>
      <c r="L13" s="14">
        <f>IF(J13=0, "-", K13/J13)</f>
        <v/>
      </c>
      <c r="M13" s="13" t="n">
        <v>470</v>
      </c>
      <c r="N13" s="13" t="n">
        <v>313</v>
      </c>
      <c r="O13" s="14">
        <f>IF(M13=0, "-", N13/M13)</f>
        <v/>
      </c>
      <c r="P13" s="14">
        <f>IF(K13=0, "-", N13/K13)</f>
        <v/>
      </c>
      <c r="Q13" s="11" t="inlineStr">
        <is>
          <t>Hợp đồng bảo trì trọn gói</t>
        </is>
      </c>
    </row>
    <row r="14" ht="24" customHeight="1">
      <c r="A14" s="6" t="n">
        <v>4</v>
      </c>
      <c r="B14" s="7" t="inlineStr">
        <is>
          <t>Kinh doanh online</t>
        </is>
      </c>
      <c r="C14" s="8">
        <f>SUM(C15:C15)</f>
        <v/>
      </c>
      <c r="D14" s="8">
        <f>SUM(D15:D15)</f>
        <v/>
      </c>
      <c r="E14" s="9">
        <f>IF(C14=0, "-", D14/C14)</f>
        <v/>
      </c>
      <c r="F14" s="8">
        <f>SUM(F15:F15)</f>
        <v/>
      </c>
      <c r="G14" s="8">
        <f>SUM(G15:G15)</f>
        <v/>
      </c>
      <c r="H14" s="9">
        <f>IF(F14=0, "-", G14/F14)</f>
        <v/>
      </c>
      <c r="I14" s="9">
        <f>IF(D14=0, "-", G14/D14)</f>
        <v/>
      </c>
      <c r="J14" s="8">
        <f>SUM(J15:J15)</f>
        <v/>
      </c>
      <c r="K14" s="8">
        <f>SUM(K15:K15)</f>
        <v/>
      </c>
      <c r="L14" s="9">
        <f>IF(J14=0, "-", K14/J14)</f>
        <v/>
      </c>
      <c r="M14" s="8">
        <f>SUM(M15:M15)</f>
        <v/>
      </c>
      <c r="N14" s="8">
        <f>SUM(N15:N15)</f>
        <v/>
      </c>
      <c r="O14" s="9">
        <f>IF(M14=0, "-", N14/M14)</f>
        <v/>
      </c>
      <c r="P14" s="9">
        <f>IF(K14=0, "-", N14/K14)</f>
        <v/>
      </c>
      <c r="Q14" s="10" t="inlineStr"/>
    </row>
    <row r="15" ht="20" customHeight="1">
      <c r="A15" s="11" t="inlineStr"/>
      <c r="B15" s="12" t="inlineStr">
        <is>
          <t xml:space="preserve">  - [VPSM] Shopee-Online VPSM</t>
        </is>
      </c>
      <c r="C15" s="13" t="n">
        <v>117</v>
      </c>
      <c r="D15" s="13" t="n">
        <v>105</v>
      </c>
      <c r="E15" s="14">
        <f>IF(C15=0, "-", D15/C15)</f>
        <v/>
      </c>
      <c r="F15" s="13" t="n">
        <v>7</v>
      </c>
      <c r="G15" s="13" t="n">
        <v>3</v>
      </c>
      <c r="H15" s="14">
        <f>IF(F15=0, "-", G15/F15)</f>
        <v/>
      </c>
      <c r="I15" s="14">
        <f>IF(D15=0, "-", G15/D15)</f>
        <v/>
      </c>
      <c r="J15" s="13" t="n">
        <v>1400</v>
      </c>
      <c r="K15" s="13" t="n">
        <v>933</v>
      </c>
      <c r="L15" s="14">
        <f>IF(J15=0, "-", K15/J15)</f>
        <v/>
      </c>
      <c r="M15" s="13" t="n">
        <v>84</v>
      </c>
      <c r="N15" s="13" t="n">
        <v>56</v>
      </c>
      <c r="O15" s="14">
        <f>IF(M15=0, "-", N15/M15)</f>
        <v/>
      </c>
      <c r="P15" s="14">
        <f>IF(K15=0, "-", N15/K15)</f>
        <v/>
      </c>
      <c r="Q15" s="11" t="inlineStr">
        <is>
          <t>Gian hàng Shopee Miền Trung</t>
        </is>
      </c>
    </row>
    <row r="16" ht="24" customHeight="1">
      <c r="A16" s="6" t="n">
        <v>5</v>
      </c>
      <c r="B16" s="7" t="inlineStr">
        <is>
          <t>Dự án</t>
        </is>
      </c>
      <c r="C16" s="8">
        <f>SUM(C17:C17)</f>
        <v/>
      </c>
      <c r="D16" s="8">
        <f>SUM(D17:D17)</f>
        <v/>
      </c>
      <c r="E16" s="9">
        <f>IF(C16=0, "-", D16/C16)</f>
        <v/>
      </c>
      <c r="F16" s="8">
        <f>SUM(F17:F17)</f>
        <v/>
      </c>
      <c r="G16" s="8">
        <f>SUM(G17:G17)</f>
        <v/>
      </c>
      <c r="H16" s="9">
        <f>IF(F16=0, "-", G16/F16)</f>
        <v/>
      </c>
      <c r="I16" s="9">
        <f>IF(D16=0, "-", G16/D16)</f>
        <v/>
      </c>
      <c r="J16" s="8">
        <f>SUM(J17:J17)</f>
        <v/>
      </c>
      <c r="K16" s="8">
        <f>SUM(K17:K17)</f>
        <v/>
      </c>
      <c r="L16" s="9">
        <f>IF(J16=0, "-", K16/J16)</f>
        <v/>
      </c>
      <c r="M16" s="8">
        <f>SUM(M17:M17)</f>
        <v/>
      </c>
      <c r="N16" s="8">
        <f>SUM(N17:N17)</f>
        <v/>
      </c>
      <c r="O16" s="9">
        <f>IF(M16=0, "-", N16/M16)</f>
        <v/>
      </c>
      <c r="P16" s="9">
        <f>IF(K16=0, "-", N16/K16)</f>
        <v/>
      </c>
      <c r="Q16" s="10" t="inlineStr"/>
    </row>
    <row r="17" ht="20" customHeight="1">
      <c r="A17" s="11" t="inlineStr"/>
      <c r="B17" s="15" t="inlineStr">
        <is>
          <t xml:space="preserve">  - [VPSM] (Nhập mảng kinh doanh nếu có phát sinh...)</t>
        </is>
      </c>
      <c r="C17" s="13" t="n">
        <v>0</v>
      </c>
      <c r="D17" s="13" t="n">
        <v>0</v>
      </c>
      <c r="E17" s="14">
        <f>IF(C17=0, "-", D17/C17)</f>
        <v/>
      </c>
      <c r="F17" s="13" t="n">
        <v>0</v>
      </c>
      <c r="G17" s="13" t="n">
        <v>0</v>
      </c>
      <c r="H17" s="14">
        <f>IF(F17=0, "-", G17/F17)</f>
        <v/>
      </c>
      <c r="I17" s="14">
        <f>IF(D17=0, "-", G17/D17)</f>
        <v/>
      </c>
      <c r="J17" s="13" t="n">
        <v>0</v>
      </c>
      <c r="K17" s="13" t="n">
        <v>0</v>
      </c>
      <c r="L17" s="14">
        <f>IF(J17=0, "-", K17/J17)</f>
        <v/>
      </c>
      <c r="M17" s="13" t="n">
        <v>0</v>
      </c>
      <c r="N17" s="13" t="n">
        <v>0</v>
      </c>
      <c r="O17" s="14">
        <f>IF(M17=0, "-", N17/M17)</f>
        <v/>
      </c>
      <c r="P17" s="14">
        <f>IF(K17=0, "-", N17/K17)</f>
        <v/>
      </c>
      <c r="Q17" s="11" t="inlineStr"/>
    </row>
    <row r="18" ht="24" customHeight="1">
      <c r="A18" s="6" t="n">
        <v>6</v>
      </c>
      <c r="B18" s="7" t="inlineStr">
        <is>
          <t>Kinh doanh tổng hợp</t>
        </is>
      </c>
      <c r="C18" s="8">
        <f>SUM(C19:C19)</f>
        <v/>
      </c>
      <c r="D18" s="8">
        <f>SUM(D19:D19)</f>
        <v/>
      </c>
      <c r="E18" s="9">
        <f>IF(C18=0, "-", D18/C18)</f>
        <v/>
      </c>
      <c r="F18" s="8">
        <f>SUM(F19:F19)</f>
        <v/>
      </c>
      <c r="G18" s="8">
        <f>SUM(G19:G19)</f>
        <v/>
      </c>
      <c r="H18" s="9">
        <f>IF(F18=0, "-", G18/F18)</f>
        <v/>
      </c>
      <c r="I18" s="9">
        <f>IF(D18=0, "-", G18/D18)</f>
        <v/>
      </c>
      <c r="J18" s="8">
        <f>SUM(J19:J19)</f>
        <v/>
      </c>
      <c r="K18" s="8">
        <f>SUM(K19:K19)</f>
        <v/>
      </c>
      <c r="L18" s="9">
        <f>IF(J18=0, "-", K18/J18)</f>
        <v/>
      </c>
      <c r="M18" s="8">
        <f>SUM(M19:M19)</f>
        <v/>
      </c>
      <c r="N18" s="8">
        <f>SUM(N19:N19)</f>
        <v/>
      </c>
      <c r="O18" s="9">
        <f>IF(M18=0, "-", N18/M18)</f>
        <v/>
      </c>
      <c r="P18" s="9">
        <f>IF(K18=0, "-", N18/K18)</f>
        <v/>
      </c>
      <c r="Q18" s="10" t="inlineStr"/>
    </row>
    <row r="19" ht="20" customHeight="1">
      <c r="A19" s="11" t="inlineStr"/>
      <c r="B19" s="15" t="inlineStr">
        <is>
          <t xml:space="preserve">  - [VPSM] (Nhập mảng kinh doanh nếu có phát sinh...)</t>
        </is>
      </c>
      <c r="C19" s="13" t="n">
        <v>0</v>
      </c>
      <c r="D19" s="13" t="n">
        <v>0</v>
      </c>
      <c r="E19" s="14">
        <f>IF(C19=0, "-", D19/C19)</f>
        <v/>
      </c>
      <c r="F19" s="13" t="n">
        <v>0</v>
      </c>
      <c r="G19" s="13" t="n">
        <v>0</v>
      </c>
      <c r="H19" s="14">
        <f>IF(F19=0, "-", G19/F19)</f>
        <v/>
      </c>
      <c r="I19" s="14">
        <f>IF(D19=0, "-", G19/D19)</f>
        <v/>
      </c>
      <c r="J19" s="13" t="n">
        <v>0</v>
      </c>
      <c r="K19" s="13" t="n">
        <v>0</v>
      </c>
      <c r="L19" s="14">
        <f>IF(J19=0, "-", K19/J19)</f>
        <v/>
      </c>
      <c r="M19" s="13" t="n">
        <v>0</v>
      </c>
      <c r="N19" s="13" t="n">
        <v>0</v>
      </c>
      <c r="O19" s="14">
        <f>IF(M19=0, "-", N19/M19)</f>
        <v/>
      </c>
      <c r="P19" s="14">
        <f>IF(K19=0, "-", N19/K19)</f>
        <v/>
      </c>
      <c r="Q19" s="11" t="inlineStr"/>
    </row>
    <row r="20" ht="24" customHeight="1">
      <c r="A20" s="6" t="n">
        <v>7</v>
      </c>
      <c r="B20" s="7" t="inlineStr">
        <is>
          <t>Kinh doanh khác</t>
        </is>
      </c>
      <c r="C20" s="8">
        <f>SUM(C21:C21)</f>
        <v/>
      </c>
      <c r="D20" s="8">
        <f>SUM(D21:D21)</f>
        <v/>
      </c>
      <c r="E20" s="9">
        <f>IF(C20=0, "-", D20/C20)</f>
        <v/>
      </c>
      <c r="F20" s="8">
        <f>SUM(F21:F21)</f>
        <v/>
      </c>
      <c r="G20" s="8">
        <f>SUM(G21:G21)</f>
        <v/>
      </c>
      <c r="H20" s="9">
        <f>IF(F20=0, "-", G20/F20)</f>
        <v/>
      </c>
      <c r="I20" s="9">
        <f>IF(D20=0, "-", G20/D20)</f>
        <v/>
      </c>
      <c r="J20" s="8">
        <f>SUM(J21:J21)</f>
        <v/>
      </c>
      <c r="K20" s="8">
        <f>SUM(K21:K21)</f>
        <v/>
      </c>
      <c r="L20" s="9">
        <f>IF(J20=0, "-", K20/J20)</f>
        <v/>
      </c>
      <c r="M20" s="8">
        <f>SUM(M21:M21)</f>
        <v/>
      </c>
      <c r="N20" s="8">
        <f>SUM(N21:N21)</f>
        <v/>
      </c>
      <c r="O20" s="9">
        <f>IF(M20=0, "-", N20/M20)</f>
        <v/>
      </c>
      <c r="P20" s="9">
        <f>IF(K20=0, "-", N20/K20)</f>
        <v/>
      </c>
      <c r="Q20" s="10" t="inlineStr"/>
    </row>
    <row r="21" ht="20" customHeight="1">
      <c r="A21" s="11" t="inlineStr"/>
      <c r="B21" s="12" t="inlineStr">
        <is>
          <t xml:space="preserve">  - [VPSM] Bán lẻ VPS Miền Trung</t>
        </is>
      </c>
      <c r="C21" s="13" t="n">
        <v>50</v>
      </c>
      <c r="D21" s="13" t="n">
        <v>5</v>
      </c>
      <c r="E21" s="14">
        <f>IF(C21=0, "-", D21/C21)</f>
        <v/>
      </c>
      <c r="F21" s="13" t="n">
        <v>9</v>
      </c>
      <c r="G21" s="13" t="n">
        <v>1</v>
      </c>
      <c r="H21" s="14">
        <f>IF(F21=0, "-", G21/F21)</f>
        <v/>
      </c>
      <c r="I21" s="14">
        <f>IF(D21=0, "-", G21/D21)</f>
        <v/>
      </c>
      <c r="J21" s="13" t="n">
        <v>600</v>
      </c>
      <c r="K21" s="13" t="n">
        <v>400</v>
      </c>
      <c r="L21" s="14">
        <f>IF(J21=0, "-", K21/J21)</f>
        <v/>
      </c>
      <c r="M21" s="13" t="n">
        <v>108</v>
      </c>
      <c r="N21" s="13" t="n">
        <v>72</v>
      </c>
      <c r="O21" s="14">
        <f>IF(M21=0, "-", N21/M21)</f>
        <v/>
      </c>
      <c r="P21" s="14">
        <f>IF(K21=0, "-", N21/K21)</f>
        <v/>
      </c>
      <c r="Q21" s="11" t="inlineStr">
        <is>
          <t>Bán lẻ tại showroom</t>
        </is>
      </c>
    </row>
    <row r="22" ht="26" customHeight="1">
      <c r="A22" s="16" t="inlineStr"/>
      <c r="B22" s="17" t="inlineStr">
        <is>
          <t>TỔNG CỘNG TOÀN ĐƠN VỊ</t>
        </is>
      </c>
      <c r="C22" s="18">
        <f>C6+C9+C11+C14+C16+C18+C20</f>
        <v/>
      </c>
      <c r="D22" s="18">
        <f>D6+D9+D11+D14+D16+D18+D20</f>
        <v/>
      </c>
      <c r="E22" s="19">
        <f>IF(C22=0, "-", D22/C22)</f>
        <v/>
      </c>
      <c r="F22" s="18">
        <f>F6+F9+F11+F14+F16+F18+F20</f>
        <v/>
      </c>
      <c r="G22" s="18">
        <f>G6+G9+G11+G14+G16+G18+G20</f>
        <v/>
      </c>
      <c r="H22" s="19">
        <f>IF(F22=0, "-", G22/F22)</f>
        <v/>
      </c>
      <c r="I22" s="19">
        <f>IF(D22=0, "-", G22/D22)</f>
        <v/>
      </c>
      <c r="J22" s="18">
        <f>J6+J9+J11+J14+J16+J18+J20</f>
        <v/>
      </c>
      <c r="K22" s="18">
        <f>K6+K9+K11+K14+K16+K18+K20</f>
        <v/>
      </c>
      <c r="L22" s="19">
        <f>IF(J22=0, "-", K22/J22)</f>
        <v/>
      </c>
      <c r="M22" s="18">
        <f>M6+M9+M11+M14+M16+M18+M20</f>
        <v/>
      </c>
      <c r="N22" s="18">
        <f>N6+N9+N11+N14+N16+N18+N20</f>
        <v/>
      </c>
      <c r="O22" s="19">
        <f>IF(M22=0, "-", N22/M22)</f>
        <v/>
      </c>
      <c r="P22" s="19">
        <f>IF(K22=0, "-", N22/K22)</f>
        <v/>
      </c>
      <c r="Q22" s="16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BẢNG THEO DÕI DOANH SỐ &amp; LÃI GỘP 12 THÁNG NĂM 2026 - CHI NHÁNH VPS MIỀN TRUNG</t>
        </is>
      </c>
    </row>
    <row r="2">
      <c r="A2" s="3" t="inlineStr">
        <is>
          <t>Đơn vị tính: Triệu VNĐ</t>
        </is>
      </c>
    </row>
    <row r="4" ht="26" customHeight="1">
      <c r="A4" s="5" t="inlineStr">
        <is>
          <t>STT</t>
        </is>
      </c>
      <c r="B4" s="5" t="inlineStr">
        <is>
          <t>PHÒNG BAN / MẢNG KD</t>
        </is>
      </c>
      <c r="C4" s="5" t="inlineStr">
        <is>
          <t>CHỈ TIÊU</t>
        </is>
      </c>
      <c r="D4" s="5" t="inlineStr">
        <is>
          <t>Tháng 1</t>
        </is>
      </c>
      <c r="E4" s="5" t="inlineStr">
        <is>
          <t>Tháng 2</t>
        </is>
      </c>
      <c r="F4" s="5" t="inlineStr">
        <is>
          <t>Tháng 3</t>
        </is>
      </c>
      <c r="G4" s="5" t="inlineStr">
        <is>
          <t>Tháng 4</t>
        </is>
      </c>
      <c r="H4" s="5" t="inlineStr">
        <is>
          <t>Tháng 5</t>
        </is>
      </c>
      <c r="I4" s="5" t="inlineStr">
        <is>
          <t>Tháng 6</t>
        </is>
      </c>
      <c r="J4" s="5" t="inlineStr">
        <is>
          <t>Tháng 7</t>
        </is>
      </c>
      <c r="K4" s="5" t="inlineStr">
        <is>
          <t>Tháng 8</t>
        </is>
      </c>
      <c r="L4" s="5" t="inlineStr">
        <is>
          <t>Tháng 9</t>
        </is>
      </c>
      <c r="M4" s="5" t="inlineStr">
        <is>
          <t>Tháng 10</t>
        </is>
      </c>
      <c r="N4" s="5" t="inlineStr">
        <is>
          <t>Tháng 11</t>
        </is>
      </c>
      <c r="O4" s="5" t="inlineStr">
        <is>
          <t>Tháng 12</t>
        </is>
      </c>
      <c r="P4" s="5" t="inlineStr">
        <is>
          <t>CẢ NĂM 2026</t>
        </is>
      </c>
    </row>
    <row r="5">
      <c r="A5" s="20" t="n">
        <v>1</v>
      </c>
      <c r="B5" s="21" t="inlineStr">
        <is>
          <t>Kinh doanh máy - bán buôn</t>
        </is>
      </c>
      <c r="C5" s="11" t="inlineStr">
        <is>
          <t>Doanh số Kế hoạch</t>
        </is>
      </c>
      <c r="D5" s="22" t="n">
        <v>833</v>
      </c>
      <c r="E5" s="22" t="n">
        <v>833</v>
      </c>
      <c r="F5" s="22" t="n">
        <v>833</v>
      </c>
      <c r="G5" s="22" t="n">
        <v>833</v>
      </c>
      <c r="H5" s="22" t="n">
        <v>833</v>
      </c>
      <c r="I5" s="22" t="n">
        <v>833</v>
      </c>
      <c r="J5" s="22" t="n">
        <v>833</v>
      </c>
      <c r="K5" s="22" t="n">
        <v>833</v>
      </c>
      <c r="L5" s="22" t="n">
        <v>833</v>
      </c>
      <c r="M5" s="22" t="n">
        <v>833</v>
      </c>
      <c r="N5" s="22" t="n">
        <v>833</v>
      </c>
      <c r="O5" s="22" t="n">
        <v>833</v>
      </c>
      <c r="P5" s="22">
        <f>SUM(D5:O5)</f>
        <v/>
      </c>
    </row>
    <row r="6">
      <c r="A6" s="23" t="inlineStr"/>
      <c r="B6" s="23" t="inlineStr"/>
      <c r="C6" s="11" t="inlineStr">
        <is>
          <t>Doanh số Thực tế</t>
        </is>
      </c>
      <c r="D6" s="22" t="n">
        <v>833</v>
      </c>
      <c r="E6" s="22" t="n">
        <v>833</v>
      </c>
      <c r="F6" s="22" t="n">
        <v>833</v>
      </c>
      <c r="G6" s="22" t="n">
        <v>833</v>
      </c>
      <c r="H6" s="22" t="n">
        <v>833</v>
      </c>
      <c r="I6" s="22" t="n">
        <v>833</v>
      </c>
      <c r="J6" s="22" t="n">
        <v>833</v>
      </c>
      <c r="K6" s="22" t="n">
        <v>810</v>
      </c>
      <c r="L6" s="22" t="n">
        <v>0</v>
      </c>
      <c r="M6" s="22" t="n">
        <v>0</v>
      </c>
      <c r="N6" s="22" t="n">
        <v>0</v>
      </c>
      <c r="O6" s="22" t="n">
        <v>0</v>
      </c>
      <c r="P6" s="22">
        <f>SUM(D6:O6)</f>
        <v/>
      </c>
    </row>
    <row r="7">
      <c r="A7" s="23" t="inlineStr"/>
      <c r="B7" s="23" t="inlineStr"/>
      <c r="C7" s="11" t="inlineStr">
        <is>
          <t>Lãi gộp Thực tế</t>
        </is>
      </c>
      <c r="D7" s="22" t="n">
        <v>75</v>
      </c>
      <c r="E7" s="22" t="n">
        <v>75</v>
      </c>
      <c r="F7" s="22" t="n">
        <v>75</v>
      </c>
      <c r="G7" s="22" t="n">
        <v>75</v>
      </c>
      <c r="H7" s="22" t="n">
        <v>75</v>
      </c>
      <c r="I7" s="22" t="n">
        <v>75</v>
      </c>
      <c r="J7" s="22" t="n">
        <v>75</v>
      </c>
      <c r="K7" s="22" t="n">
        <v>45</v>
      </c>
      <c r="L7" s="22" t="n">
        <v>0</v>
      </c>
      <c r="M7" s="22" t="n">
        <v>0</v>
      </c>
      <c r="N7" s="22" t="n">
        <v>0</v>
      </c>
      <c r="O7" s="22" t="n">
        <v>0</v>
      </c>
      <c r="P7" s="22">
        <f>SUM(D7:O7)</f>
        <v/>
      </c>
    </row>
    <row r="8">
      <c r="A8" s="20" t="n">
        <v>2</v>
      </c>
      <c r="B8" s="21" t="inlineStr">
        <is>
          <t>Kinh doanh linh kiện - bán buôn</t>
        </is>
      </c>
      <c r="C8" s="11" t="inlineStr">
        <is>
          <t>Doanh số Kế hoạch</t>
        </is>
      </c>
      <c r="D8" s="22" t="n">
        <v>292</v>
      </c>
      <c r="E8" s="22" t="n">
        <v>292</v>
      </c>
      <c r="F8" s="22" t="n">
        <v>292</v>
      </c>
      <c r="G8" s="22" t="n">
        <v>292</v>
      </c>
      <c r="H8" s="22" t="n">
        <v>292</v>
      </c>
      <c r="I8" s="22" t="n">
        <v>292</v>
      </c>
      <c r="J8" s="22" t="n">
        <v>292</v>
      </c>
      <c r="K8" s="22" t="n">
        <v>292</v>
      </c>
      <c r="L8" s="22" t="n">
        <v>292</v>
      </c>
      <c r="M8" s="22" t="n">
        <v>292</v>
      </c>
      <c r="N8" s="22" t="n">
        <v>292</v>
      </c>
      <c r="O8" s="22" t="n">
        <v>292</v>
      </c>
      <c r="P8" s="22">
        <f>SUM(D8:O8)</f>
        <v/>
      </c>
    </row>
    <row r="9">
      <c r="A9" s="23" t="inlineStr"/>
      <c r="B9" s="23" t="inlineStr"/>
      <c r="C9" s="11" t="inlineStr">
        <is>
          <t>Doanh số Thực tế</t>
        </is>
      </c>
      <c r="D9" s="22" t="n">
        <v>292</v>
      </c>
      <c r="E9" s="22" t="n">
        <v>292</v>
      </c>
      <c r="F9" s="22" t="n">
        <v>292</v>
      </c>
      <c r="G9" s="22" t="n">
        <v>292</v>
      </c>
      <c r="H9" s="22" t="n">
        <v>292</v>
      </c>
      <c r="I9" s="22" t="n">
        <v>292</v>
      </c>
      <c r="J9" s="22" t="n">
        <v>292</v>
      </c>
      <c r="K9" s="22" t="n">
        <v>240</v>
      </c>
      <c r="L9" s="22" t="n">
        <v>0</v>
      </c>
      <c r="M9" s="22" t="n">
        <v>0</v>
      </c>
      <c r="N9" s="22" t="n">
        <v>0</v>
      </c>
      <c r="O9" s="22" t="n">
        <v>0</v>
      </c>
      <c r="P9" s="22">
        <f>SUM(D9:O9)</f>
        <v/>
      </c>
    </row>
    <row r="10">
      <c r="A10" s="23" t="inlineStr"/>
      <c r="B10" s="23" t="inlineStr"/>
      <c r="C10" s="11" t="inlineStr">
        <is>
          <t>Lãi gộp Thực tế</t>
        </is>
      </c>
      <c r="D10" s="22" t="n">
        <v>38</v>
      </c>
      <c r="E10" s="22" t="n">
        <v>38</v>
      </c>
      <c r="F10" s="22" t="n">
        <v>38</v>
      </c>
      <c r="G10" s="22" t="n">
        <v>38</v>
      </c>
      <c r="H10" s="22" t="n">
        <v>38</v>
      </c>
      <c r="I10" s="22" t="n">
        <v>38</v>
      </c>
      <c r="J10" s="22" t="n">
        <v>38</v>
      </c>
      <c r="K10" s="22" t="n">
        <v>22</v>
      </c>
      <c r="L10" s="22" t="n">
        <v>0</v>
      </c>
      <c r="M10" s="22" t="n">
        <v>0</v>
      </c>
      <c r="N10" s="22" t="n">
        <v>0</v>
      </c>
      <c r="O10" s="22" t="n">
        <v>0</v>
      </c>
      <c r="P10" s="22">
        <f>SUM(D10:O10)</f>
        <v/>
      </c>
    </row>
    <row r="11">
      <c r="A11" s="20" t="n">
        <v>3</v>
      </c>
      <c r="B11" s="21" t="inlineStr">
        <is>
          <t>Thuê máy Miền Trung</t>
        </is>
      </c>
      <c r="C11" s="11" t="inlineStr">
        <is>
          <t>Doanh số Kế hoạch</t>
        </is>
      </c>
      <c r="D11" s="22" t="n">
        <v>100</v>
      </c>
      <c r="E11" s="22" t="n">
        <v>100</v>
      </c>
      <c r="F11" s="22" t="n">
        <v>100</v>
      </c>
      <c r="G11" s="22" t="n">
        <v>100</v>
      </c>
      <c r="H11" s="22" t="n">
        <v>100</v>
      </c>
      <c r="I11" s="22" t="n">
        <v>100</v>
      </c>
      <c r="J11" s="22" t="n">
        <v>100</v>
      </c>
      <c r="K11" s="22" t="n">
        <v>100</v>
      </c>
      <c r="L11" s="22" t="n">
        <v>100</v>
      </c>
      <c r="M11" s="22" t="n">
        <v>100</v>
      </c>
      <c r="N11" s="22" t="n">
        <v>100</v>
      </c>
      <c r="O11" s="22" t="n">
        <v>100</v>
      </c>
      <c r="P11" s="22">
        <f>SUM(D11:O11)</f>
        <v/>
      </c>
    </row>
    <row r="12">
      <c r="A12" s="23" t="inlineStr"/>
      <c r="B12" s="23" t="inlineStr"/>
      <c r="C12" s="11" t="inlineStr">
        <is>
          <t>Doanh số Thực tế</t>
        </is>
      </c>
      <c r="D12" s="22" t="n">
        <v>100</v>
      </c>
      <c r="E12" s="22" t="n">
        <v>100</v>
      </c>
      <c r="F12" s="22" t="n">
        <v>100</v>
      </c>
      <c r="G12" s="22" t="n">
        <v>100</v>
      </c>
      <c r="H12" s="22" t="n">
        <v>100</v>
      </c>
      <c r="I12" s="22" t="n">
        <v>100</v>
      </c>
      <c r="J12" s="22" t="n">
        <v>100</v>
      </c>
      <c r="K12" s="22" t="n">
        <v>80</v>
      </c>
      <c r="L12" s="22" t="n">
        <v>0</v>
      </c>
      <c r="M12" s="22" t="n">
        <v>0</v>
      </c>
      <c r="N12" s="22" t="n">
        <v>0</v>
      </c>
      <c r="O12" s="22" t="n">
        <v>0</v>
      </c>
      <c r="P12" s="22">
        <f>SUM(D12:O12)</f>
        <v/>
      </c>
    </row>
    <row r="13">
      <c r="A13" s="23" t="inlineStr"/>
      <c r="B13" s="23" t="inlineStr"/>
      <c r="C13" s="11" t="inlineStr">
        <is>
          <t>Lãi gộp Thực tế</t>
        </is>
      </c>
      <c r="D13" s="22" t="n">
        <v>65</v>
      </c>
      <c r="E13" s="22" t="n">
        <v>65</v>
      </c>
      <c r="F13" s="22" t="n">
        <v>65</v>
      </c>
      <c r="G13" s="22" t="n">
        <v>65</v>
      </c>
      <c r="H13" s="22" t="n">
        <v>65</v>
      </c>
      <c r="I13" s="22" t="n">
        <v>65</v>
      </c>
      <c r="J13" s="22" t="n">
        <v>65</v>
      </c>
      <c r="K13" s="22" t="n">
        <v>20</v>
      </c>
      <c r="L13" s="22" t="n">
        <v>0</v>
      </c>
      <c r="M13" s="22" t="n">
        <v>0</v>
      </c>
      <c r="N13" s="22" t="n">
        <v>0</v>
      </c>
      <c r="O13" s="22" t="n">
        <v>0</v>
      </c>
      <c r="P13" s="22">
        <f>SUM(D13:O13)</f>
        <v/>
      </c>
    </row>
    <row r="14">
      <c r="A14" s="20" t="n">
        <v>4</v>
      </c>
      <c r="B14" s="21" t="inlineStr">
        <is>
          <t>Dịch vụ kỹ thuật VPSM</t>
        </is>
      </c>
      <c r="C14" s="11" t="inlineStr">
        <is>
          <t>Doanh số Kế hoạch</t>
        </is>
      </c>
      <c r="D14" s="22" t="n">
        <v>225</v>
      </c>
      <c r="E14" s="22" t="n">
        <v>225</v>
      </c>
      <c r="F14" s="22" t="n">
        <v>225</v>
      </c>
      <c r="G14" s="22" t="n">
        <v>225</v>
      </c>
      <c r="H14" s="22" t="n">
        <v>225</v>
      </c>
      <c r="I14" s="22" t="n">
        <v>225</v>
      </c>
      <c r="J14" s="22" t="n">
        <v>225</v>
      </c>
      <c r="K14" s="22" t="n">
        <v>225</v>
      </c>
      <c r="L14" s="22" t="n">
        <v>225</v>
      </c>
      <c r="M14" s="22" t="n">
        <v>225</v>
      </c>
      <c r="N14" s="22" t="n">
        <v>225</v>
      </c>
      <c r="O14" s="22" t="n">
        <v>225</v>
      </c>
      <c r="P14" s="22">
        <f>SUM(D14:O14)</f>
        <v/>
      </c>
    </row>
    <row r="15">
      <c r="A15" s="23" t="inlineStr"/>
      <c r="B15" s="23" t="inlineStr"/>
      <c r="C15" s="11" t="inlineStr">
        <is>
          <t>Doanh số Thực tế</t>
        </is>
      </c>
      <c r="D15" s="22" t="n">
        <v>225</v>
      </c>
      <c r="E15" s="22" t="n">
        <v>225</v>
      </c>
      <c r="F15" s="22" t="n">
        <v>225</v>
      </c>
      <c r="G15" s="22" t="n">
        <v>225</v>
      </c>
      <c r="H15" s="22" t="n">
        <v>225</v>
      </c>
      <c r="I15" s="22" t="n">
        <v>225</v>
      </c>
      <c r="J15" s="22" t="n">
        <v>225</v>
      </c>
      <c r="K15" s="22" t="n">
        <v>220</v>
      </c>
      <c r="L15" s="22" t="n">
        <v>0</v>
      </c>
      <c r="M15" s="22" t="n">
        <v>0</v>
      </c>
      <c r="N15" s="22" t="n">
        <v>0</v>
      </c>
      <c r="O15" s="22" t="n">
        <v>0</v>
      </c>
      <c r="P15" s="22">
        <f>SUM(D15:O15)</f>
        <v/>
      </c>
    </row>
    <row r="16">
      <c r="A16" s="23" t="inlineStr"/>
      <c r="B16" s="23" t="inlineStr"/>
      <c r="C16" s="11" t="inlineStr">
        <is>
          <t>Lãi gộp Thực tế</t>
        </is>
      </c>
      <c r="D16" s="22" t="n">
        <v>112</v>
      </c>
      <c r="E16" s="22" t="n">
        <v>112</v>
      </c>
      <c r="F16" s="22" t="n">
        <v>112</v>
      </c>
      <c r="G16" s="22" t="n">
        <v>112</v>
      </c>
      <c r="H16" s="22" t="n">
        <v>112</v>
      </c>
      <c r="I16" s="22" t="n">
        <v>112</v>
      </c>
      <c r="J16" s="22" t="n">
        <v>112</v>
      </c>
      <c r="K16" s="22" t="n">
        <v>95</v>
      </c>
      <c r="L16" s="22" t="n">
        <v>0</v>
      </c>
      <c r="M16" s="22" t="n">
        <v>0</v>
      </c>
      <c r="N16" s="22" t="n">
        <v>0</v>
      </c>
      <c r="O16" s="22" t="n">
        <v>0</v>
      </c>
      <c r="P16" s="22">
        <f>SUM(D16:O16)</f>
        <v/>
      </c>
    </row>
    <row r="17">
      <c r="A17" s="20" t="n">
        <v>5</v>
      </c>
      <c r="B17" s="21" t="inlineStr">
        <is>
          <t>Dịch vụ toàn phần VPSM</t>
        </is>
      </c>
      <c r="C17" s="11" t="inlineStr">
        <is>
          <t>Doanh số Kế hoạch</t>
        </is>
      </c>
      <c r="D17" s="22" t="n">
        <v>67</v>
      </c>
      <c r="E17" s="22" t="n">
        <v>67</v>
      </c>
      <c r="F17" s="22" t="n">
        <v>67</v>
      </c>
      <c r="G17" s="22" t="n">
        <v>67</v>
      </c>
      <c r="H17" s="22" t="n">
        <v>67</v>
      </c>
      <c r="I17" s="22" t="n">
        <v>67</v>
      </c>
      <c r="J17" s="22" t="n">
        <v>67</v>
      </c>
      <c r="K17" s="22" t="n">
        <v>67</v>
      </c>
      <c r="L17" s="22" t="n">
        <v>67</v>
      </c>
      <c r="M17" s="22" t="n">
        <v>67</v>
      </c>
      <c r="N17" s="22" t="n">
        <v>67</v>
      </c>
      <c r="O17" s="22" t="n">
        <v>67</v>
      </c>
      <c r="P17" s="22">
        <f>SUM(D17:O17)</f>
        <v/>
      </c>
    </row>
    <row r="18">
      <c r="A18" s="23" t="inlineStr"/>
      <c r="B18" s="23" t="inlineStr"/>
      <c r="C18" s="11" t="inlineStr">
        <is>
          <t>Doanh số Thực tế</t>
        </is>
      </c>
      <c r="D18" s="22" t="n">
        <v>67</v>
      </c>
      <c r="E18" s="22" t="n">
        <v>67</v>
      </c>
      <c r="F18" s="22" t="n">
        <v>67</v>
      </c>
      <c r="G18" s="22" t="n">
        <v>67</v>
      </c>
      <c r="H18" s="22" t="n">
        <v>67</v>
      </c>
      <c r="I18" s="22" t="n">
        <v>67</v>
      </c>
      <c r="J18" s="22" t="n">
        <v>67</v>
      </c>
      <c r="K18" s="22" t="n">
        <v>60</v>
      </c>
      <c r="L18" s="22" t="n">
        <v>0</v>
      </c>
      <c r="M18" s="22" t="n">
        <v>0</v>
      </c>
      <c r="N18" s="22" t="n">
        <v>0</v>
      </c>
      <c r="O18" s="22" t="n">
        <v>0</v>
      </c>
      <c r="P18" s="22">
        <f>SUM(D18:O18)</f>
        <v/>
      </c>
    </row>
    <row r="19">
      <c r="A19" s="23" t="inlineStr"/>
      <c r="B19" s="23" t="inlineStr"/>
      <c r="C19" s="11" t="inlineStr">
        <is>
          <t>Lãi gộp Thực tế</t>
        </is>
      </c>
      <c r="D19" s="22" t="n">
        <v>39</v>
      </c>
      <c r="E19" s="22" t="n">
        <v>39</v>
      </c>
      <c r="F19" s="22" t="n">
        <v>39</v>
      </c>
      <c r="G19" s="22" t="n">
        <v>39</v>
      </c>
      <c r="H19" s="22" t="n">
        <v>39</v>
      </c>
      <c r="I19" s="22" t="n">
        <v>39</v>
      </c>
      <c r="J19" s="22" t="n">
        <v>39</v>
      </c>
      <c r="K19" s="22" t="n">
        <v>35</v>
      </c>
      <c r="L19" s="22" t="n">
        <v>0</v>
      </c>
      <c r="M19" s="22" t="n">
        <v>0</v>
      </c>
      <c r="N19" s="22" t="n">
        <v>0</v>
      </c>
      <c r="O19" s="22" t="n">
        <v>0</v>
      </c>
      <c r="P19" s="22">
        <f>SUM(D19:O19)</f>
        <v/>
      </c>
    </row>
    <row r="20">
      <c r="A20" s="20" t="n">
        <v>6</v>
      </c>
      <c r="B20" s="21" t="inlineStr">
        <is>
          <t>Shopee-Online VPSM</t>
        </is>
      </c>
      <c r="C20" s="11" t="inlineStr">
        <is>
          <t>Doanh số Kế hoạch</t>
        </is>
      </c>
      <c r="D20" s="22" t="n">
        <v>117</v>
      </c>
      <c r="E20" s="22" t="n">
        <v>117</v>
      </c>
      <c r="F20" s="22" t="n">
        <v>117</v>
      </c>
      <c r="G20" s="22" t="n">
        <v>117</v>
      </c>
      <c r="H20" s="22" t="n">
        <v>117</v>
      </c>
      <c r="I20" s="22" t="n">
        <v>117</v>
      </c>
      <c r="J20" s="22" t="n">
        <v>117</v>
      </c>
      <c r="K20" s="22" t="n">
        <v>117</v>
      </c>
      <c r="L20" s="22" t="n">
        <v>117</v>
      </c>
      <c r="M20" s="22" t="n">
        <v>117</v>
      </c>
      <c r="N20" s="22" t="n">
        <v>117</v>
      </c>
      <c r="O20" s="22" t="n">
        <v>117</v>
      </c>
      <c r="P20" s="22">
        <f>SUM(D20:O20)</f>
        <v/>
      </c>
    </row>
    <row r="21">
      <c r="A21" s="23" t="inlineStr"/>
      <c r="B21" s="23" t="inlineStr"/>
      <c r="C21" s="11" t="inlineStr">
        <is>
          <t>Doanh số Thực tế</t>
        </is>
      </c>
      <c r="D21" s="22" t="n">
        <v>117</v>
      </c>
      <c r="E21" s="22" t="n">
        <v>117</v>
      </c>
      <c r="F21" s="22" t="n">
        <v>117</v>
      </c>
      <c r="G21" s="22" t="n">
        <v>117</v>
      </c>
      <c r="H21" s="22" t="n">
        <v>117</v>
      </c>
      <c r="I21" s="22" t="n">
        <v>117</v>
      </c>
      <c r="J21" s="22" t="n">
        <v>117</v>
      </c>
      <c r="K21" s="22" t="n">
        <v>105</v>
      </c>
      <c r="L21" s="22" t="n">
        <v>0</v>
      </c>
      <c r="M21" s="22" t="n">
        <v>0</v>
      </c>
      <c r="N21" s="22" t="n">
        <v>0</v>
      </c>
      <c r="O21" s="22" t="n">
        <v>0</v>
      </c>
      <c r="P21" s="22">
        <f>SUM(D21:O21)</f>
        <v/>
      </c>
    </row>
    <row r="22">
      <c r="A22" s="23" t="inlineStr"/>
      <c r="B22" s="23" t="inlineStr"/>
      <c r="C22" s="11" t="inlineStr">
        <is>
          <t>Lãi gộp Thực tế</t>
        </is>
      </c>
      <c r="D22" s="22" t="n">
        <v>7</v>
      </c>
      <c r="E22" s="22" t="n">
        <v>7</v>
      </c>
      <c r="F22" s="22" t="n">
        <v>7</v>
      </c>
      <c r="G22" s="22" t="n">
        <v>7</v>
      </c>
      <c r="H22" s="22" t="n">
        <v>7</v>
      </c>
      <c r="I22" s="22" t="n">
        <v>7</v>
      </c>
      <c r="J22" s="22" t="n">
        <v>7</v>
      </c>
      <c r="K22" s="22" t="n">
        <v>3</v>
      </c>
      <c r="L22" s="22" t="n">
        <v>0</v>
      </c>
      <c r="M22" s="22" t="n">
        <v>0</v>
      </c>
      <c r="N22" s="22" t="n">
        <v>0</v>
      </c>
      <c r="O22" s="22" t="n">
        <v>0</v>
      </c>
      <c r="P22" s="22">
        <f>SUM(D22:O22)</f>
        <v/>
      </c>
    </row>
    <row r="23">
      <c r="A23" s="20" t="n">
        <v>7</v>
      </c>
      <c r="B23" s="21" t="inlineStr">
        <is>
          <t>Bán lẻ VPS Miền Trung</t>
        </is>
      </c>
      <c r="C23" s="11" t="inlineStr">
        <is>
          <t>Doanh số Kế hoạch</t>
        </is>
      </c>
      <c r="D23" s="22" t="n">
        <v>50</v>
      </c>
      <c r="E23" s="22" t="n">
        <v>50</v>
      </c>
      <c r="F23" s="22" t="n">
        <v>50</v>
      </c>
      <c r="G23" s="22" t="n">
        <v>50</v>
      </c>
      <c r="H23" s="22" t="n">
        <v>50</v>
      </c>
      <c r="I23" s="22" t="n">
        <v>50</v>
      </c>
      <c r="J23" s="22" t="n">
        <v>50</v>
      </c>
      <c r="K23" s="22" t="n">
        <v>50</v>
      </c>
      <c r="L23" s="22" t="n">
        <v>50</v>
      </c>
      <c r="M23" s="22" t="n">
        <v>50</v>
      </c>
      <c r="N23" s="22" t="n">
        <v>50</v>
      </c>
      <c r="O23" s="22" t="n">
        <v>50</v>
      </c>
      <c r="P23" s="22">
        <f>SUM(D23:O23)</f>
        <v/>
      </c>
    </row>
    <row r="24">
      <c r="A24" s="23" t="inlineStr"/>
      <c r="B24" s="23" t="inlineStr"/>
      <c r="C24" s="11" t="inlineStr">
        <is>
          <t>Doanh số Thực tế</t>
        </is>
      </c>
      <c r="D24" s="22" t="n">
        <v>50</v>
      </c>
      <c r="E24" s="22" t="n">
        <v>50</v>
      </c>
      <c r="F24" s="22" t="n">
        <v>50</v>
      </c>
      <c r="G24" s="22" t="n">
        <v>50</v>
      </c>
      <c r="H24" s="22" t="n">
        <v>50</v>
      </c>
      <c r="I24" s="22" t="n">
        <v>50</v>
      </c>
      <c r="J24" s="22" t="n">
        <v>50</v>
      </c>
      <c r="K24" s="22" t="n">
        <v>5</v>
      </c>
      <c r="L24" s="22" t="n">
        <v>0</v>
      </c>
      <c r="M24" s="22" t="n">
        <v>0</v>
      </c>
      <c r="N24" s="22" t="n">
        <v>0</v>
      </c>
      <c r="O24" s="22" t="n">
        <v>0</v>
      </c>
      <c r="P24" s="22">
        <f>SUM(D24:O24)</f>
        <v/>
      </c>
    </row>
    <row r="25">
      <c r="A25" s="23" t="inlineStr"/>
      <c r="B25" s="23" t="inlineStr"/>
      <c r="C25" s="11" t="inlineStr">
        <is>
          <t>Lãi gộp Thực tế</t>
        </is>
      </c>
      <c r="D25" s="22" t="n">
        <v>9</v>
      </c>
      <c r="E25" s="22" t="n">
        <v>9</v>
      </c>
      <c r="F25" s="22" t="n">
        <v>9</v>
      </c>
      <c r="G25" s="22" t="n">
        <v>9</v>
      </c>
      <c r="H25" s="22" t="n">
        <v>9</v>
      </c>
      <c r="I25" s="22" t="n">
        <v>9</v>
      </c>
      <c r="J25" s="22" t="n">
        <v>9</v>
      </c>
      <c r="K25" s="22" t="n">
        <v>1</v>
      </c>
      <c r="L25" s="22" t="n">
        <v>0</v>
      </c>
      <c r="M25" s="22" t="n">
        <v>0</v>
      </c>
      <c r="N25" s="22" t="n">
        <v>0</v>
      </c>
      <c r="O25" s="22" t="n">
        <v>0</v>
      </c>
      <c r="P25" s="22">
        <f>SUM(D25:O25)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2026-09-28T01:54:24Z</dcterms:created>
  <dcterms:modified xmlns:dcterms="http://purl.org/dc/terms/" xmlns:xsi="http://www.w3.org/2001/XMLSchema-instance" xsi:type="dcterms:W3CDTF">2026-09-28T01:54:24Z</dcterms:modified>
</cp:coreProperties>
</file>